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grupo\Downloads\"/>
    </mc:Choice>
  </mc:AlternateContent>
  <xr:revisionPtr revIDLastSave="1138" documentId="13_ncr:1_{BE712D55-942A-4151-8DB3-2609E58259B0}" xr6:coauthVersionLast="47" xr6:coauthVersionMax="47" xr10:uidLastSave="{CAD7171B-61F2-4E60-B1EB-49E9188CCA9A}"/>
  <bookViews>
    <workbookView xWindow="-108" yWindow="-108" windowWidth="23256" windowHeight="12456" firstSheet="6" activeTab="6" xr2:uid="{8420C63C-512C-43DB-9EA9-57F1FD5B663F}"/>
  </bookViews>
  <sheets>
    <sheet name="JAN-2026" sheetId="1" r:id="rId1"/>
    <sheet name="FEV" sheetId="2" r:id="rId2"/>
    <sheet name="MARÇO" sheetId="3" r:id="rId3"/>
    <sheet name="ABRIL" sheetId="4" r:id="rId4"/>
    <sheet name="MAIO" sheetId="5" r:id="rId5"/>
    <sheet name="JUN" sheetId="6" r:id="rId6"/>
    <sheet name="JUL" sheetId="7" r:id="rId7"/>
    <sheet name="Planilha1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7" l="1"/>
  <c r="D2" i="7"/>
  <c r="G2" i="6"/>
  <c r="E2" i="6"/>
  <c r="C2" i="7"/>
  <c r="C2" i="6"/>
  <c r="D2" i="6"/>
  <c r="E2" i="5"/>
  <c r="F2" i="5"/>
  <c r="G2" i="5"/>
  <c r="C2" i="4"/>
  <c r="E2" i="4"/>
  <c r="G2" i="4"/>
  <c r="C2" i="5"/>
  <c r="D2" i="5"/>
  <c r="G2" i="3"/>
  <c r="D2" i="4"/>
  <c r="C2" i="3"/>
  <c r="E2" i="3"/>
  <c r="D2" i="3"/>
  <c r="F2" i="2"/>
  <c r="G2" i="2"/>
  <c r="E2" i="2"/>
  <c r="E2" i="1"/>
  <c r="G2" i="1"/>
  <c r="D2" i="2"/>
  <c r="C2" i="2"/>
  <c r="C2" i="1"/>
  <c r="D2" i="1"/>
</calcChain>
</file>

<file path=xl/sharedStrings.xml><?xml version="1.0" encoding="utf-8"?>
<sst xmlns="http://schemas.openxmlformats.org/spreadsheetml/2006/main" count="1426" uniqueCount="231">
  <si>
    <t xml:space="preserve">  FINANCEIRO ALFA - JANEIRO/26</t>
  </si>
  <si>
    <t>TOTAL DESPESAS</t>
  </si>
  <si>
    <t>SUBTOTAL FIXOS</t>
  </si>
  <si>
    <t>TOTAL PAGO</t>
  </si>
  <si>
    <t>TOTAL EM ABERTO</t>
  </si>
  <si>
    <t>TOTAL EM ATRASO</t>
  </si>
  <si>
    <t>DESPESA</t>
  </si>
  <si>
    <t>DEPARTAMENTO</t>
  </si>
  <si>
    <t>VALORES</t>
  </si>
  <si>
    <t>PARCELA</t>
  </si>
  <si>
    <t>VENCIMENTO</t>
  </si>
  <si>
    <t>DATA DE PAGAMENTO</t>
  </si>
  <si>
    <t>FONTE DE PAGAMENTO</t>
  </si>
  <si>
    <t>STATUS</t>
  </si>
  <si>
    <t>OBSERVAÇÃO</t>
  </si>
  <si>
    <t xml:space="preserve">REINALDO RIOS </t>
  </si>
  <si>
    <t>ENGENHARIA</t>
  </si>
  <si>
    <t>FIXO</t>
  </si>
  <si>
    <t>SANTANDER ALFA</t>
  </si>
  <si>
    <t>PAGO</t>
  </si>
  <si>
    <t xml:space="preserve">VICTÓRIA </t>
  </si>
  <si>
    <t>ADM</t>
  </si>
  <si>
    <t xml:space="preserve">FIXO </t>
  </si>
  <si>
    <t>PRIORITY - AZUL</t>
  </si>
  <si>
    <t>APTO</t>
  </si>
  <si>
    <t xml:space="preserve">VALOR REAL  R$ 788,77 </t>
  </si>
  <si>
    <t>PRIORITY - VERDE</t>
  </si>
  <si>
    <t>VALOR REAL 547,64</t>
  </si>
  <si>
    <t>CONDOMINIO PRIORITY - AZUL</t>
  </si>
  <si>
    <t>VALOR PAGO 499,86</t>
  </si>
  <si>
    <t>CONDOMINIO PRIORITY - VERDE</t>
  </si>
  <si>
    <t>VALOR PAGO 324,91</t>
  </si>
  <si>
    <t>EMPRESA PARCELA CASA MONGAGUÁ</t>
  </si>
  <si>
    <t>CASA</t>
  </si>
  <si>
    <t>PAGO EM MARÇO</t>
  </si>
  <si>
    <t>TECHCONT</t>
  </si>
  <si>
    <t>CONTABILIDADE</t>
  </si>
  <si>
    <t>ROBERTO C6</t>
  </si>
  <si>
    <t>ENGATE CARRETINHA + GERADOR</t>
  </si>
  <si>
    <t>CARTÃO MARCIO</t>
  </si>
  <si>
    <t>2 DE 3</t>
  </si>
  <si>
    <t>OBRA MARQUISE</t>
  </si>
  <si>
    <t>CONDOMINIO SALA HELBOR</t>
  </si>
  <si>
    <t>ALFA BARRETO</t>
  </si>
  <si>
    <t>SEGURO SAVEIRO ROBUST</t>
  </si>
  <si>
    <t>CARRO 2</t>
  </si>
  <si>
    <t>CANVA APP</t>
  </si>
  <si>
    <t>ALUGUEL PONTO COMERCIAL 1/2</t>
  </si>
  <si>
    <t>VICTÓRIA ADM</t>
  </si>
  <si>
    <t>REINALDO RIOS ENGENHEIRO</t>
  </si>
  <si>
    <t>CLARO EMPRESA (13)97418-9242</t>
  </si>
  <si>
    <t>HELBOR SALA COMERCIAL</t>
  </si>
  <si>
    <t>PARCELA 15-120</t>
  </si>
  <si>
    <t>BOLETO SAVEIRO ROBUST</t>
  </si>
  <si>
    <t>12 DE 36</t>
  </si>
  <si>
    <t>APARTAMENTO LEVON</t>
  </si>
  <si>
    <t>PARCELAMENTO RECEITA - TIO MARCIO</t>
  </si>
  <si>
    <t>RECEITA FEDERAL</t>
  </si>
  <si>
    <t>PARCELA 5- 10</t>
  </si>
  <si>
    <t>EMPRESA COMBUSTÍVEL</t>
  </si>
  <si>
    <t>COMBUSTIVEL</t>
  </si>
  <si>
    <t>EMPRESA ALIMENTAÇÃO</t>
  </si>
  <si>
    <t>ALIMENTAÇÃO</t>
  </si>
  <si>
    <t>CONSÓRCIO SAVOL</t>
  </si>
  <si>
    <t>REEMBOLSO LICENCIAMENTO E MULTAS - SAVEIRO CROSS</t>
  </si>
  <si>
    <t>CARRO 1</t>
  </si>
  <si>
    <t>UNICO</t>
  </si>
  <si>
    <t>COMISSÃO AIRBNB</t>
  </si>
  <si>
    <t>ÚNICO</t>
  </si>
  <si>
    <t>IPVA SAVEIRO ROBUST (1/5)</t>
  </si>
  <si>
    <t>1 DE 5</t>
  </si>
  <si>
    <t>DIÁRIAS PÁTIO</t>
  </si>
  <si>
    <t>DESPESA ESCRITÓRIO - SUPORTE NOTEBOOK</t>
  </si>
  <si>
    <t xml:space="preserve">  FINANCEIRO ALFA - FEVEREIRO/2026</t>
  </si>
  <si>
    <t xml:space="preserve">  </t>
  </si>
  <si>
    <t>3 DE 3</t>
  </si>
  <si>
    <t>29/02/2026</t>
  </si>
  <si>
    <t>30/02/2026</t>
  </si>
  <si>
    <t>PARCELA 6- 10</t>
  </si>
  <si>
    <t>NOTEBOOK EMPRESA 2</t>
  </si>
  <si>
    <t>REEMBOLSO COMBUSTIVEL (SEMANA 1 JANEIRO) - FELIPE</t>
  </si>
  <si>
    <t>CERTIFICADO DIGITAL - 2 EMPRESAS</t>
  </si>
  <si>
    <t xml:space="preserve">REEMBOLSO VICTORIA </t>
  </si>
  <si>
    <t xml:space="preserve">IPVA SAVEIRO ROBUST </t>
  </si>
  <si>
    <t>2 DE 5</t>
  </si>
  <si>
    <t xml:space="preserve">MANUTENÇÃO TROCA DE ÓLEO </t>
  </si>
  <si>
    <t>CONDOMINIO HELBOR</t>
  </si>
  <si>
    <t>SALA COMERCIAL</t>
  </si>
  <si>
    <t>REF A NOVEMBRO/25</t>
  </si>
  <si>
    <t>REEMBOLSO VICTORIA - UBER E IMPRESSÃO</t>
  </si>
  <si>
    <t xml:space="preserve">  FINANCEIRO ALFA - MARÇO</t>
  </si>
  <si>
    <t>REF A FEVEREIRO E MARÇO</t>
  </si>
  <si>
    <t>pago</t>
  </si>
  <si>
    <t>REEMBOLSO: UBER E IMPRESSÃO DE DOCUMENTOS</t>
  </si>
  <si>
    <t>MANUTENÇÃO SAVEIRO CROSS</t>
  </si>
  <si>
    <t>ACORDO TRIBUTOS FEDERAIS DARF</t>
  </si>
  <si>
    <t>TRIBUTOS FEDERAIS</t>
  </si>
  <si>
    <t>REEMBOLSO FERNANDO - MANUTENÇÃO CARRO 1</t>
  </si>
  <si>
    <t xml:space="preserve">ESCRIVANINHA </t>
  </si>
  <si>
    <t>CHATGPT</t>
  </si>
  <si>
    <t xml:space="preserve">  FINANCEIRO ALFA - ABRIL</t>
  </si>
  <si>
    <t xml:space="preserve">VALORES DESCONTADOS DA LOCAÇÃO </t>
  </si>
  <si>
    <t>VALORES DESCONTADOS DA LOCAÇÃO</t>
  </si>
  <si>
    <t>BONIFICAÇÃO EQUIPE</t>
  </si>
  <si>
    <t>BONUS</t>
  </si>
  <si>
    <t>ESPAÇO NUVEM - GOOGLE</t>
  </si>
  <si>
    <t>LAVAGEM - SAVEIRO 2</t>
  </si>
  <si>
    <t>FERRAMENTA EMPRESA</t>
  </si>
  <si>
    <t>FERRAMENTA</t>
  </si>
  <si>
    <t>NOTA</t>
  </si>
  <si>
    <t>FEICON 2026</t>
  </si>
  <si>
    <t>DESPESA FEIRA CONSTRUÇÃO</t>
  </si>
  <si>
    <t>DINHEIRO</t>
  </si>
  <si>
    <t>REEMBOLSO - VICTORIA</t>
  </si>
  <si>
    <t>UBER</t>
  </si>
  <si>
    <t>MANUTENÇÃO CARRO</t>
  </si>
  <si>
    <t>UNIFORME EMPRESA - FELIPE</t>
  </si>
  <si>
    <t>EPI</t>
  </si>
  <si>
    <t>QUITAÇÃO EMPRÉSTIMO WELLINGTON</t>
  </si>
  <si>
    <t>EMPRÉSTIMO</t>
  </si>
  <si>
    <t>PAGAMENTO JUROS EMPRÉSTIMO 1%</t>
  </si>
  <si>
    <t>1% SOBRE 6 MESES - 15K</t>
  </si>
  <si>
    <t>RENOVAÇÃO PCMSO E PPR</t>
  </si>
  <si>
    <t>R$: 823,00</t>
  </si>
  <si>
    <t>APTO CAIÇARA</t>
  </si>
  <si>
    <t>SALDO CONDOMINIO VENC ABRIL</t>
  </si>
  <si>
    <t>PAGAMENTO EMPRÉSTIMO FELIPE</t>
  </si>
  <si>
    <t>BONUS FELIPE</t>
  </si>
  <si>
    <t xml:space="preserve">  FINANCEIRO ALFA - MAIO</t>
  </si>
  <si>
    <t>PAGO ABRIL E MAIO</t>
  </si>
  <si>
    <t>REF A ABRIL E MAIO</t>
  </si>
  <si>
    <t>BATERIA CARRO - REEMBOLSO</t>
  </si>
  <si>
    <t>REEMBOLSO VICTORIA UBER</t>
  </si>
  <si>
    <t>ALMOÇO VICTÓRIA</t>
  </si>
  <si>
    <t>DESPESA MARKETING - PORTIFÓLIO INFRAESTRUTURA E SANEAMENTO</t>
  </si>
  <si>
    <t>MARKETING</t>
  </si>
  <si>
    <t>CAPACETE ROBERTO</t>
  </si>
  <si>
    <t>MATERIAL BARRETO</t>
  </si>
  <si>
    <t>MATERIAL</t>
  </si>
  <si>
    <t>DESPESA PPP - JOSÉ APARECIDO</t>
  </si>
  <si>
    <t>UBER CALÇAS</t>
  </si>
  <si>
    <t>CONDOMINIO SALA HELBOR - ATRASADOS</t>
  </si>
  <si>
    <t>REF DEZ/26 - JAN/FEV/MAR/2027</t>
  </si>
  <si>
    <t>SALA HELBOR ATRASADAS C/ JUROS</t>
  </si>
  <si>
    <t>SALDO PGT PCMSO - PGR</t>
  </si>
  <si>
    <t>INVESTIMENTO MARCIO</t>
  </si>
  <si>
    <t>INVESTIMENTO</t>
  </si>
  <si>
    <t>PARCELAMENTO DÉBITOS FEDERAIS</t>
  </si>
  <si>
    <t>1 DE 60</t>
  </si>
  <si>
    <t>1 DE 18</t>
  </si>
  <si>
    <t>1 DE 17</t>
  </si>
  <si>
    <t>DÉBITO FEDERAL - PARCELA UNICA</t>
  </si>
  <si>
    <t>ENTRADA NOTEBOOK</t>
  </si>
  <si>
    <t>R$:1.000,00/R$:2500,00</t>
  </si>
  <si>
    <t>SALA HELBOR ABRIL E MAIO C/ JUROS</t>
  </si>
  <si>
    <t>NOTEBOOK</t>
  </si>
  <si>
    <t>ACORDO PREFEITURA DE PRAIA GRANDE</t>
  </si>
  <si>
    <t>PREFEITURA PG</t>
  </si>
  <si>
    <t>1 DE 12</t>
  </si>
  <si>
    <t>2 DE 12</t>
  </si>
  <si>
    <t>3 DE 12</t>
  </si>
  <si>
    <t>4 DE 12</t>
  </si>
  <si>
    <t>CERTIDÕES CARTÓRIO</t>
  </si>
  <si>
    <t>CARTÓRIO</t>
  </si>
  <si>
    <t>QUITAÇÃO DÍVIDA GETNET</t>
  </si>
  <si>
    <t>GETNET</t>
  </si>
  <si>
    <t>MOCHILA</t>
  </si>
  <si>
    <t>CARRINO DE MÃO</t>
  </si>
  <si>
    <t>LAVAGEM CARRO</t>
  </si>
  <si>
    <t>7 DE 27</t>
  </si>
  <si>
    <t xml:space="preserve">  FINANCEIRO ALFA - JUNHO</t>
  </si>
  <si>
    <t>5 DE 12</t>
  </si>
  <si>
    <t>MERCADO PAGO ROBERTO</t>
  </si>
  <si>
    <t>PAGO EM JULHO</t>
  </si>
  <si>
    <t>CLARO EMPRESA (13)97418-5254</t>
  </si>
  <si>
    <t>REF A MAIO</t>
  </si>
  <si>
    <t>2 DE 60</t>
  </si>
  <si>
    <t>2 DE 18</t>
  </si>
  <si>
    <t>3 DE 17</t>
  </si>
  <si>
    <t>8 DE 27</t>
  </si>
  <si>
    <t>FONE DE OUVIDO</t>
  </si>
  <si>
    <t>DESPESA CARTÓRIO</t>
  </si>
  <si>
    <t>EQUIPAMENTOS EMPRESA - CARRETINHA</t>
  </si>
  <si>
    <t>EQUIPAMENTOS</t>
  </si>
  <si>
    <t>CARIMBO ALFA CONSTRUTORA 1</t>
  </si>
  <si>
    <t>TREINAMENTO RAPHAELL COSTA</t>
  </si>
  <si>
    <t>TREINAMENTO</t>
  </si>
  <si>
    <t>MANUTENÇÃO SAVEIRO CROSS -2 PNEUS NOVOS</t>
  </si>
  <si>
    <t xml:space="preserve">	</t>
  </si>
  <si>
    <t>FERRAMENTA EMPRESA - TAMBOR 200 I</t>
  </si>
  <si>
    <t>1T NUVEM - ONE DRIVE</t>
  </si>
  <si>
    <t>PAGO CARTÃO VI - VÁLIDO POR 1 ANO</t>
  </si>
  <si>
    <t>DECLARAÇÃO IRPF - 2026</t>
  </si>
  <si>
    <t>CARIMBO ALFA CONSTRUTORA LTDA</t>
  </si>
  <si>
    <t>MATERIAL ESCRITÓRIO</t>
  </si>
  <si>
    <t>BORDADO CAMISETAS</t>
  </si>
  <si>
    <t xml:space="preserve">PARCELAMENTO R.N. </t>
  </si>
  <si>
    <t>1 DE 35</t>
  </si>
  <si>
    <t>FABÍOLA</t>
  </si>
  <si>
    <t xml:space="preserve">  FINANCEIRO ALFA - JULHO</t>
  </si>
  <si>
    <t>6 DE 12</t>
  </si>
  <si>
    <t>MERCADO PAGO ALFA</t>
  </si>
  <si>
    <t>JUNHO E JULHO</t>
  </si>
  <si>
    <t>JUNHO E JULHO COM JUROS</t>
  </si>
  <si>
    <t>REF A JUNHO</t>
  </si>
  <si>
    <t>DIVIDA ATIVA - ALFA LTDA</t>
  </si>
  <si>
    <t>3 DE 6</t>
  </si>
  <si>
    <t>DARF - ALFA LTDA</t>
  </si>
  <si>
    <t>MINISTÉRIO DA FAZENDA</t>
  </si>
  <si>
    <t>3 DE 60</t>
  </si>
  <si>
    <t>9 DE 27</t>
  </si>
  <si>
    <t>DIVIDA ATIVA - ROBERTO CPF</t>
  </si>
  <si>
    <t>2 DE 35</t>
  </si>
  <si>
    <t>2 de 60</t>
  </si>
  <si>
    <t>REEMBOLSO FERNANDO - FERRAMENTAS</t>
  </si>
  <si>
    <t>GUIA FGTS JUNHO</t>
  </si>
  <si>
    <t>FGTS</t>
  </si>
  <si>
    <t>MANUTENÇÃO - LIMPEZA</t>
  </si>
  <si>
    <t>REEMBOLSO UBER - VICTÓRIA</t>
  </si>
  <si>
    <t>CELULAR EMPRESA</t>
  </si>
  <si>
    <t>5 CESTAS BÁSICAS</t>
  </si>
  <si>
    <t>DOAÇÃO</t>
  </si>
  <si>
    <t>REEMBOLSO MARCIO- MARKETING EDSON</t>
  </si>
  <si>
    <t>4 PÁS</t>
  </si>
  <si>
    <t>VICTORIA - BONUS</t>
  </si>
  <si>
    <t>ESMERILHADEIRA E GERADOR CSM</t>
  </si>
  <si>
    <t>FABIOLA - HONORÁRIOS</t>
  </si>
  <si>
    <t>CARRINHO DE MÃO</t>
  </si>
  <si>
    <t>UNIFORME EMPRESA - DIRETOR</t>
  </si>
  <si>
    <t>4 SUÉTER</t>
  </si>
  <si>
    <t>REF A JULHO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</si>
</sst>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[$-416]d\-mmm;@"/>
    <numFmt numFmtId="165" formatCode="&quot;R$&quot;\ #,##0.00"/>
  </numFmts>
  <fonts count="8">
    <font>
      <sz val="11"/>
      <color theme="1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charset val="1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61">
    <xf numFmtId="0" fontId="0" fillId="0" borderId="0" xfId="0"/>
    <xf numFmtId="0" fontId="2" fillId="0" borderId="0" xfId="0" applyFont="1"/>
    <xf numFmtId="0" fontId="4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1" fillId="0" borderId="0" xfId="0" applyFont="1"/>
    <xf numFmtId="8" fontId="4" fillId="6" borderId="1" xfId="0" applyNumberFormat="1" applyFont="1" applyFill="1" applyBorder="1" applyAlignment="1">
      <alignment horizontal="center" vertical="center"/>
    </xf>
    <xf numFmtId="14" fontId="2" fillId="0" borderId="0" xfId="0" applyNumberFormat="1" applyFont="1"/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/>
    </xf>
    <xf numFmtId="0" fontId="2" fillId="0" borderId="5" xfId="0" applyFont="1" applyBorder="1" applyAlignment="1">
      <alignment horizontal="left"/>
    </xf>
    <xf numFmtId="16" fontId="2" fillId="0" borderId="5" xfId="0" applyNumberFormat="1" applyFont="1" applyBorder="1" applyAlignment="1">
      <alignment vertical="center"/>
    </xf>
    <xf numFmtId="16" fontId="2" fillId="0" borderId="5" xfId="0" applyNumberFormat="1" applyFont="1" applyBorder="1"/>
    <xf numFmtId="0" fontId="2" fillId="0" borderId="5" xfId="0" applyFont="1" applyBorder="1"/>
    <xf numFmtId="0" fontId="2" fillId="0" borderId="5" xfId="0" applyFont="1" applyBorder="1" applyAlignment="1">
      <alignment horizontal="left" vertical="center"/>
    </xf>
    <xf numFmtId="0" fontId="2" fillId="0" borderId="5" xfId="0" applyFont="1" applyBorder="1" applyAlignment="1">
      <alignment horizontal="right"/>
    </xf>
    <xf numFmtId="0" fontId="2" fillId="0" borderId="5" xfId="0" applyFont="1" applyBorder="1" applyAlignment="1">
      <alignment wrapText="1"/>
    </xf>
    <xf numFmtId="0" fontId="2" fillId="0" borderId="7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16" fontId="2" fillId="0" borderId="6" xfId="0" applyNumberFormat="1" applyFont="1" applyBorder="1" applyAlignment="1">
      <alignment horizontal="right" vertical="center"/>
    </xf>
    <xf numFmtId="0" fontId="2" fillId="0" borderId="6" xfId="0" applyFont="1" applyBorder="1" applyAlignment="1">
      <alignment horizontal="right"/>
    </xf>
    <xf numFmtId="0" fontId="2" fillId="0" borderId="6" xfId="0" applyFont="1" applyBorder="1" applyAlignment="1">
      <alignment horizontal="left"/>
    </xf>
    <xf numFmtId="0" fontId="2" fillId="0" borderId="6" xfId="0" applyFont="1" applyBorder="1"/>
    <xf numFmtId="0" fontId="2" fillId="8" borderId="5" xfId="0" applyFont="1" applyFill="1" applyBorder="1" applyAlignment="1">
      <alignment horizontal="left"/>
    </xf>
    <xf numFmtId="16" fontId="2" fillId="8" borderId="5" xfId="0" applyNumberFormat="1" applyFont="1" applyFill="1" applyBorder="1" applyAlignment="1">
      <alignment vertical="center"/>
    </xf>
    <xf numFmtId="16" fontId="2" fillId="8" borderId="5" xfId="0" applyNumberFormat="1" applyFont="1" applyFill="1" applyBorder="1"/>
    <xf numFmtId="0" fontId="2" fillId="8" borderId="5" xfId="0" applyFont="1" applyFill="1" applyBorder="1"/>
    <xf numFmtId="44" fontId="2" fillId="0" borderId="5" xfId="0" applyNumberFormat="1" applyFont="1" applyBorder="1"/>
    <xf numFmtId="44" fontId="3" fillId="3" borderId="1" xfId="0" applyNumberFormat="1" applyFont="1" applyFill="1" applyBorder="1" applyAlignment="1">
      <alignment horizontal="center" vertical="center"/>
    </xf>
    <xf numFmtId="44" fontId="2" fillId="0" borderId="0" xfId="0" applyNumberFormat="1" applyFont="1"/>
    <xf numFmtId="44" fontId="5" fillId="2" borderId="3" xfId="0" applyNumberFormat="1" applyFont="1" applyFill="1" applyBorder="1" applyAlignment="1">
      <alignment horizontal="center" vertical="center"/>
    </xf>
    <xf numFmtId="44" fontId="2" fillId="8" borderId="5" xfId="0" applyNumberFormat="1" applyFont="1" applyFill="1" applyBorder="1" applyAlignment="1">
      <alignment horizontal="left" vertical="top"/>
    </xf>
    <xf numFmtId="44" fontId="2" fillId="0" borderId="5" xfId="0" applyNumberFormat="1" applyFont="1" applyBorder="1" applyAlignment="1">
      <alignment horizontal="left" vertical="top"/>
    </xf>
    <xf numFmtId="44" fontId="2" fillId="0" borderId="7" xfId="0" applyNumberFormat="1" applyFont="1" applyBorder="1" applyAlignment="1">
      <alignment horizontal="left" vertical="top"/>
    </xf>
    <xf numFmtId="44" fontId="2" fillId="0" borderId="6" xfId="0" applyNumberFormat="1" applyFont="1" applyBorder="1" applyAlignment="1">
      <alignment horizontal="left" vertical="top"/>
    </xf>
    <xf numFmtId="44" fontId="0" fillId="0" borderId="0" xfId="0" applyNumberFormat="1"/>
    <xf numFmtId="44" fontId="3" fillId="5" borderId="1" xfId="0" applyNumberFormat="1" applyFont="1" applyFill="1" applyBorder="1" applyAlignment="1">
      <alignment horizontal="center" vertical="center" wrapText="1"/>
    </xf>
    <xf numFmtId="44" fontId="4" fillId="4" borderId="1" xfId="0" applyNumberFormat="1" applyFont="1" applyFill="1" applyBorder="1" applyAlignment="1">
      <alignment horizontal="center" vertical="center"/>
    </xf>
    <xf numFmtId="44" fontId="4" fillId="7" borderId="1" xfId="0" applyNumberFormat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/>
    </xf>
    <xf numFmtId="44" fontId="2" fillId="0" borderId="8" xfId="0" applyNumberFormat="1" applyFont="1" applyBorder="1" applyAlignment="1">
      <alignment horizontal="left" vertical="top"/>
    </xf>
    <xf numFmtId="16" fontId="2" fillId="0" borderId="8" xfId="0" applyNumberFormat="1" applyFont="1" applyBorder="1" applyAlignment="1">
      <alignment horizontal="right" vertical="center"/>
    </xf>
    <xf numFmtId="0" fontId="2" fillId="0" borderId="8" xfId="0" applyFont="1" applyBorder="1"/>
    <xf numFmtId="0" fontId="0" fillId="9" borderId="5" xfId="0" applyFill="1" applyBorder="1"/>
    <xf numFmtId="44" fontId="0" fillId="9" borderId="5" xfId="0" applyNumberFormat="1" applyFill="1" applyBorder="1"/>
    <xf numFmtId="16" fontId="0" fillId="9" borderId="5" xfId="0" applyNumberFormat="1" applyFill="1" applyBorder="1"/>
    <xf numFmtId="0" fontId="0" fillId="9" borderId="6" xfId="0" applyFill="1" applyBorder="1" applyAlignment="1">
      <alignment wrapText="1"/>
    </xf>
    <xf numFmtId="0" fontId="0" fillId="9" borderId="6" xfId="0" applyFill="1" applyBorder="1"/>
    <xf numFmtId="44" fontId="0" fillId="9" borderId="6" xfId="0" applyNumberFormat="1" applyFill="1" applyBorder="1"/>
    <xf numFmtId="16" fontId="0" fillId="9" borderId="6" xfId="0" applyNumberFormat="1" applyFill="1" applyBorder="1"/>
    <xf numFmtId="16" fontId="2" fillId="0" borderId="5" xfId="0" applyNumberFormat="1" applyFont="1" applyBorder="1" applyAlignment="1">
      <alignment horizontal="right"/>
    </xf>
    <xf numFmtId="9" fontId="0" fillId="9" borderId="6" xfId="0" applyNumberFormat="1" applyFill="1" applyBorder="1"/>
    <xf numFmtId="0" fontId="1" fillId="2" borderId="0" xfId="0" applyFont="1" applyFill="1" applyAlignment="1">
      <alignment horizontal="left" wrapText="1"/>
    </xf>
    <xf numFmtId="164" fontId="2" fillId="0" borderId="5" xfId="0" applyNumberFormat="1" applyFont="1" applyBorder="1" applyAlignment="1">
      <alignment vertical="center"/>
    </xf>
    <xf numFmtId="164" fontId="2" fillId="0" borderId="6" xfId="0" applyNumberFormat="1" applyFont="1" applyBorder="1" applyAlignment="1">
      <alignment horizontal="right" vertical="center"/>
    </xf>
    <xf numFmtId="164" fontId="2" fillId="0" borderId="5" xfId="0" applyNumberFormat="1" applyFont="1" applyBorder="1" applyAlignment="1">
      <alignment horizontal="right" vertical="center"/>
    </xf>
    <xf numFmtId="0" fontId="0" fillId="10" borderId="5" xfId="0" applyFill="1" applyBorder="1"/>
    <xf numFmtId="44" fontId="0" fillId="10" borderId="5" xfId="0" applyNumberFormat="1" applyFill="1" applyBorder="1"/>
    <xf numFmtId="16" fontId="0" fillId="10" borderId="5" xfId="0" applyNumberFormat="1" applyFill="1" applyBorder="1"/>
    <xf numFmtId="0" fontId="0" fillId="10" borderId="6" xfId="0" applyFill="1" applyBorder="1"/>
    <xf numFmtId="44" fontId="0" fillId="10" borderId="6" xfId="0" applyNumberFormat="1" applyFill="1" applyBorder="1"/>
    <xf numFmtId="16" fontId="0" fillId="10" borderId="6" xfId="0" applyNumberFormat="1" applyFill="1" applyBorder="1"/>
    <xf numFmtId="0" fontId="0" fillId="10" borderId="5" xfId="0" applyFill="1" applyBorder="1" applyAlignment="1">
      <alignment wrapText="1"/>
    </xf>
    <xf numFmtId="16" fontId="2" fillId="0" borderId="5" xfId="0" applyNumberFormat="1" applyFont="1" applyBorder="1" applyAlignment="1">
      <alignment wrapText="1"/>
    </xf>
    <xf numFmtId="0" fontId="0" fillId="10" borderId="6" xfId="0" applyFill="1" applyBorder="1" applyAlignment="1">
      <alignment wrapText="1"/>
    </xf>
    <xf numFmtId="44" fontId="4" fillId="6" borderId="1" xfId="0" applyNumberFormat="1" applyFont="1" applyFill="1" applyBorder="1" applyAlignment="1">
      <alignment horizontal="center" vertical="center"/>
    </xf>
    <xf numFmtId="0" fontId="0" fillId="10" borderId="0" xfId="0" applyFill="1" applyBorder="1" applyAlignment="1">
      <alignment wrapText="1"/>
    </xf>
    <xf numFmtId="0" fontId="0" fillId="10" borderId="0" xfId="0" applyFill="1" applyBorder="1"/>
    <xf numFmtId="44" fontId="0" fillId="10" borderId="0" xfId="0" applyNumberFormat="1" applyFill="1" applyBorder="1"/>
    <xf numFmtId="16" fontId="0" fillId="10" borderId="0" xfId="0" applyNumberFormat="1" applyFill="1" applyBorder="1"/>
    <xf numFmtId="0" fontId="2" fillId="0" borderId="5" xfId="0" applyFont="1" applyFill="1" applyBorder="1" applyAlignment="1">
      <alignment wrapText="1"/>
    </xf>
    <xf numFmtId="0" fontId="2" fillId="0" borderId="0" xfId="0" applyFont="1" applyAlignment="1"/>
    <xf numFmtId="0" fontId="4" fillId="6" borderId="1" xfId="0" applyFont="1" applyFill="1" applyBorder="1" applyAlignment="1">
      <alignment horizontal="center" vertical="center"/>
    </xf>
    <xf numFmtId="0" fontId="0" fillId="0" borderId="0" xfId="0" applyAlignment="1"/>
    <xf numFmtId="0" fontId="0" fillId="0" borderId="0" xfId="0" applyFill="1" applyBorder="1" applyAlignment="1">
      <alignment wrapText="1"/>
    </xf>
    <xf numFmtId="0" fontId="0" fillId="0" borderId="0" xfId="0" applyFill="1" applyBorder="1"/>
    <xf numFmtId="44" fontId="0" fillId="0" borderId="0" xfId="0" applyNumberFormat="1" applyFill="1" applyBorder="1"/>
    <xf numFmtId="16" fontId="0" fillId="0" borderId="0" xfId="0" applyNumberFormat="1" applyFill="1" applyBorder="1"/>
    <xf numFmtId="0" fontId="5" fillId="2" borderId="9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44" fontId="5" fillId="2" borderId="0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left" vertical="center" wrapText="1"/>
    </xf>
    <xf numFmtId="0" fontId="2" fillId="9" borderId="6" xfId="0" applyFont="1" applyFill="1" applyBorder="1" applyAlignment="1">
      <alignment horizontal="left" vertical="center"/>
    </xf>
    <xf numFmtId="44" fontId="2" fillId="9" borderId="6" xfId="0" applyNumberFormat="1" applyFont="1" applyFill="1" applyBorder="1" applyAlignment="1">
      <alignment horizontal="left" vertical="top"/>
    </xf>
    <xf numFmtId="164" fontId="2" fillId="9" borderId="6" xfId="0" applyNumberFormat="1" applyFont="1" applyFill="1" applyBorder="1" applyAlignment="1">
      <alignment horizontal="right" vertical="center"/>
    </xf>
    <xf numFmtId="16" fontId="2" fillId="9" borderId="6" xfId="0" applyNumberFormat="1" applyFont="1" applyFill="1" applyBorder="1" applyAlignment="1">
      <alignment horizontal="right"/>
    </xf>
    <xf numFmtId="0" fontId="2" fillId="9" borderId="6" xfId="0" applyFont="1" applyFill="1" applyBorder="1" applyAlignment="1">
      <alignment horizontal="left"/>
    </xf>
    <xf numFmtId="0" fontId="2" fillId="9" borderId="6" xfId="0" applyFont="1" applyFill="1" applyBorder="1"/>
    <xf numFmtId="0" fontId="2" fillId="9" borderId="5" xfId="0" applyFont="1" applyFill="1" applyBorder="1" applyAlignment="1">
      <alignment horizontal="left"/>
    </xf>
    <xf numFmtId="44" fontId="2" fillId="9" borderId="5" xfId="0" applyNumberFormat="1" applyFont="1" applyFill="1" applyBorder="1" applyAlignment="1">
      <alignment horizontal="left" vertical="top"/>
    </xf>
    <xf numFmtId="16" fontId="2" fillId="9" borderId="5" xfId="0" applyNumberFormat="1" applyFont="1" applyFill="1" applyBorder="1" applyAlignment="1">
      <alignment vertical="center"/>
    </xf>
    <xf numFmtId="16" fontId="2" fillId="9" borderId="5" xfId="0" applyNumberFormat="1" applyFont="1" applyFill="1" applyBorder="1"/>
    <xf numFmtId="0" fontId="2" fillId="9" borderId="5" xfId="0" applyFont="1" applyFill="1" applyBorder="1"/>
    <xf numFmtId="0" fontId="6" fillId="0" borderId="0" xfId="0" applyFont="1" applyFill="1" applyBorder="1" applyAlignment="1">
      <alignment wrapText="1"/>
    </xf>
    <xf numFmtId="16" fontId="0" fillId="9" borderId="1" xfId="0" applyNumberFormat="1" applyFill="1" applyBorder="1"/>
    <xf numFmtId="0" fontId="0" fillId="9" borderId="1" xfId="0" applyFill="1" applyBorder="1"/>
    <xf numFmtId="0" fontId="2" fillId="0" borderId="11" xfId="0" applyFont="1" applyBorder="1"/>
    <xf numFmtId="0" fontId="0" fillId="9" borderId="12" xfId="0" applyFill="1" applyBorder="1"/>
    <xf numFmtId="0" fontId="2" fillId="0" borderId="1" xfId="0" applyFont="1" applyBorder="1" applyAlignment="1">
      <alignment horizontal="left" vertical="center"/>
    </xf>
    <xf numFmtId="44" fontId="2" fillId="0" borderId="1" xfId="0" applyNumberFormat="1" applyFont="1" applyBorder="1" applyAlignment="1">
      <alignment horizontal="left" vertical="top"/>
    </xf>
    <xf numFmtId="164" fontId="2" fillId="0" borderId="1" xfId="0" applyNumberFormat="1" applyFont="1" applyBorder="1" applyAlignment="1">
      <alignment horizontal="right" vertical="center"/>
    </xf>
    <xf numFmtId="0" fontId="2" fillId="0" borderId="1" xfId="0" applyFont="1" applyBorder="1"/>
    <xf numFmtId="0" fontId="2" fillId="0" borderId="1" xfId="0" applyFont="1" applyFill="1" applyBorder="1" applyAlignment="1">
      <alignment horizontal="left" vertical="center"/>
    </xf>
    <xf numFmtId="44" fontId="2" fillId="0" borderId="1" xfId="0" applyNumberFormat="1" applyFont="1" applyFill="1" applyBorder="1" applyAlignment="1">
      <alignment horizontal="left" vertical="top"/>
    </xf>
    <xf numFmtId="0" fontId="2" fillId="9" borderId="1" xfId="0" applyFont="1" applyFill="1" applyBorder="1" applyAlignment="1">
      <alignment horizontal="left" vertical="center"/>
    </xf>
    <xf numFmtId="44" fontId="2" fillId="9" borderId="1" xfId="0" applyNumberFormat="1" applyFont="1" applyFill="1" applyBorder="1" applyAlignment="1">
      <alignment horizontal="left" vertical="top"/>
    </xf>
    <xf numFmtId="0" fontId="2" fillId="9" borderId="5" xfId="0" applyFont="1" applyFill="1" applyBorder="1" applyAlignment="1">
      <alignment horizontal="right"/>
    </xf>
    <xf numFmtId="0" fontId="2" fillId="10" borderId="1" xfId="0" applyFont="1" applyFill="1" applyBorder="1" applyAlignment="1">
      <alignment horizontal="left" vertical="center"/>
    </xf>
    <xf numFmtId="44" fontId="2" fillId="10" borderId="1" xfId="0" applyNumberFormat="1" applyFont="1" applyFill="1" applyBorder="1" applyAlignment="1">
      <alignment horizontal="left" vertical="top"/>
    </xf>
    <xf numFmtId="0" fontId="2" fillId="11" borderId="1" xfId="0" applyFont="1" applyFill="1" applyBorder="1" applyAlignment="1">
      <alignment horizontal="left" vertical="center"/>
    </xf>
    <xf numFmtId="0" fontId="2" fillId="9" borderId="8" xfId="0" applyFont="1" applyFill="1" applyBorder="1" applyAlignment="1">
      <alignment horizontal="left" vertical="center"/>
    </xf>
    <xf numFmtId="0" fontId="0" fillId="9" borderId="8" xfId="0" applyFill="1" applyBorder="1"/>
    <xf numFmtId="44" fontId="2" fillId="9" borderId="8" xfId="0" applyNumberFormat="1" applyFont="1" applyFill="1" applyBorder="1" applyAlignment="1">
      <alignment horizontal="left" vertical="top"/>
    </xf>
    <xf numFmtId="16" fontId="0" fillId="9" borderId="8" xfId="0" applyNumberFormat="1" applyFill="1" applyBorder="1"/>
    <xf numFmtId="0" fontId="5" fillId="2" borderId="9" xfId="0" applyFont="1" applyFill="1" applyBorder="1" applyAlignment="1">
      <alignment horizontal="center" vertical="center" wrapText="1"/>
    </xf>
    <xf numFmtId="44" fontId="5" fillId="2" borderId="0" xfId="0" applyNumberFormat="1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6" fontId="2" fillId="8" borderId="5" xfId="0" applyNumberFormat="1" applyFont="1" applyFill="1" applyBorder="1" applyAlignment="1"/>
    <xf numFmtId="0" fontId="2" fillId="8" borderId="5" xfId="0" applyFont="1" applyFill="1" applyBorder="1" applyAlignment="1"/>
    <xf numFmtId="0" fontId="2" fillId="0" borderId="5" xfId="0" applyFont="1" applyBorder="1" applyAlignment="1"/>
    <xf numFmtId="44" fontId="2" fillId="0" borderId="5" xfId="0" applyNumberFormat="1" applyFont="1" applyBorder="1" applyAlignment="1"/>
    <xf numFmtId="16" fontId="2" fillId="0" borderId="5" xfId="0" applyNumberFormat="1" applyFont="1" applyBorder="1" applyAlignment="1"/>
    <xf numFmtId="0" fontId="2" fillId="0" borderId="6" xfId="0" applyFont="1" applyBorder="1" applyAlignment="1"/>
    <xf numFmtId="16" fontId="2" fillId="0" borderId="5" xfId="0" applyNumberFormat="1" applyFont="1" applyFill="1" applyBorder="1" applyAlignment="1"/>
    <xf numFmtId="0" fontId="2" fillId="0" borderId="5" xfId="0" applyFont="1" applyFill="1" applyBorder="1" applyAlignment="1">
      <alignment horizontal="right"/>
    </xf>
    <xf numFmtId="164" fontId="2" fillId="0" borderId="6" xfId="0" applyNumberFormat="1" applyFont="1" applyBorder="1" applyAlignment="1">
      <alignment vertical="center"/>
    </xf>
    <xf numFmtId="0" fontId="2" fillId="0" borderId="8" xfId="0" applyFont="1" applyBorder="1" applyAlignment="1"/>
    <xf numFmtId="0" fontId="2" fillId="0" borderId="2" xfId="0" applyFont="1" applyBorder="1" applyAlignment="1"/>
    <xf numFmtId="0" fontId="0" fillId="9" borderId="6" xfId="0" applyFont="1" applyFill="1" applyBorder="1"/>
    <xf numFmtId="44" fontId="0" fillId="9" borderId="6" xfId="0" applyNumberFormat="1" applyFont="1" applyFill="1" applyBorder="1"/>
    <xf numFmtId="16" fontId="0" fillId="9" borderId="6" xfId="0" applyNumberFormat="1" applyFont="1" applyFill="1" applyBorder="1"/>
    <xf numFmtId="0" fontId="0" fillId="9" borderId="5" xfId="0" applyFill="1" applyBorder="1" applyAlignment="1">
      <alignment wrapText="1"/>
    </xf>
    <xf numFmtId="16" fontId="2" fillId="9" borderId="5" xfId="0" applyNumberFormat="1" applyFont="1" applyFill="1" applyBorder="1" applyAlignment="1"/>
    <xf numFmtId="0" fontId="0" fillId="9" borderId="6" xfId="0" applyFill="1" applyBorder="1" applyAlignment="1"/>
    <xf numFmtId="0" fontId="0" fillId="0" borderId="5" xfId="0" applyFill="1" applyBorder="1"/>
    <xf numFmtId="44" fontId="0" fillId="0" borderId="5" xfId="0" applyNumberFormat="1" applyFill="1" applyBorder="1"/>
    <xf numFmtId="16" fontId="0" fillId="0" borderId="5" xfId="0" applyNumberFormat="1" applyFill="1" applyBorder="1"/>
    <xf numFmtId="16" fontId="2" fillId="0" borderId="5" xfId="0" applyNumberFormat="1" applyFont="1" applyFill="1" applyBorder="1" applyAlignment="1">
      <alignment horizontal="right"/>
    </xf>
    <xf numFmtId="0" fontId="2" fillId="8" borderId="5" xfId="0" applyFont="1" applyFill="1" applyBorder="1" applyAlignment="1">
      <alignment wrapText="1"/>
    </xf>
    <xf numFmtId="165" fontId="3" fillId="3" borderId="1" xfId="0" applyNumberFormat="1" applyFont="1" applyFill="1" applyBorder="1" applyAlignment="1">
      <alignment horizontal="center" vertical="center"/>
    </xf>
    <xf numFmtId="165" fontId="2" fillId="0" borderId="0" xfId="0" applyNumberFormat="1" applyFont="1"/>
    <xf numFmtId="165" fontId="5" fillId="2" borderId="0" xfId="0" applyNumberFormat="1" applyFont="1" applyFill="1" applyBorder="1" applyAlignment="1">
      <alignment horizontal="center" vertical="center" wrapText="1"/>
    </xf>
    <xf numFmtId="165" fontId="2" fillId="8" borderId="5" xfId="0" applyNumberFormat="1" applyFont="1" applyFill="1" applyBorder="1" applyAlignment="1">
      <alignment horizontal="left" vertical="top"/>
    </xf>
    <xf numFmtId="165" fontId="2" fillId="0" borderId="5" xfId="0" applyNumberFormat="1" applyFont="1" applyBorder="1" applyAlignment="1"/>
    <xf numFmtId="165" fontId="2" fillId="0" borderId="5" xfId="0" applyNumberFormat="1" applyFont="1" applyBorder="1" applyAlignment="1">
      <alignment horizontal="left" vertical="top"/>
    </xf>
    <xf numFmtId="165" fontId="2" fillId="0" borderId="6" xfId="0" applyNumberFormat="1" applyFont="1" applyBorder="1" applyAlignment="1">
      <alignment horizontal="left" vertical="top"/>
    </xf>
    <xf numFmtId="165" fontId="0" fillId="9" borderId="6" xfId="0" applyNumberFormat="1" applyFill="1" applyBorder="1"/>
    <xf numFmtId="165" fontId="0" fillId="0" borderId="0" xfId="0" applyNumberFormat="1"/>
    <xf numFmtId="165" fontId="0" fillId="9" borderId="5" xfId="0" applyNumberFormat="1" applyFill="1" applyBorder="1"/>
    <xf numFmtId="165" fontId="3" fillId="5" borderId="1" xfId="0" applyNumberFormat="1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left" vertical="center"/>
    </xf>
    <xf numFmtId="165" fontId="2" fillId="0" borderId="11" xfId="0" applyNumberFormat="1" applyFont="1" applyBorder="1" applyAlignment="1">
      <alignment horizontal="left" vertical="top"/>
    </xf>
    <xf numFmtId="16" fontId="2" fillId="0" borderId="6" xfId="0" applyNumberFormat="1" applyFont="1" applyBorder="1" applyAlignment="1"/>
    <xf numFmtId="0" fontId="7" fillId="9" borderId="0" xfId="0" applyFont="1" applyFill="1"/>
  </cellXfs>
  <cellStyles count="1">
    <cellStyle name="Normal" xfId="0" builtinId="0"/>
  </cellStyles>
  <dxfs count="68"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64" formatCode="[$-416]d\-mmm;@"/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34" formatCode="_-&quot;R$&quot;\ * #,##0.00_-;\-&quot;R$&quot;\ * #,##0.00_-;_-&quot;R$&quot;\ * &quot;-&quot;??_-;_-@_-"/>
      <alignment horizontal="left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000000"/>
          <bgColor rgb="FF000000"/>
        </patternFill>
      </fill>
      <alignment horizontal="center" vertical="center" textRotation="0" wrapText="0" indent="0" justifyLastLine="0" shrinkToFit="0" readingOrder="0"/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AF6A82-5EB4-4559-8F2F-0D50C66634E1}" name="Tabela1" displayName="Tabela1" ref="A4:I33" totalsRowShown="0" headerRowDxfId="40" tableBorderDxfId="39">
  <autoFilter ref="A4:I33" xr:uid="{04AF6A82-5EB4-4559-8F2F-0D50C66634E1}"/>
  <tableColumns count="9">
    <tableColumn id="1" xr3:uid="{25BE57E5-992F-4E0F-BFBF-DA0C081873C6}" name="DESPESA" dataDxfId="38"/>
    <tableColumn id="2" xr3:uid="{081E8CE0-75A0-4058-8822-9E82FB082FBF}" name="DEPARTAMENTO" dataDxfId="37"/>
    <tableColumn id="3" xr3:uid="{C3D73180-14C4-4036-9BFA-0D03E448FFD4}" name="VALORES" dataDxfId="36"/>
    <tableColumn id="4" xr3:uid="{D266D62C-7D15-4AB3-81CB-1C845DDA9C57}" name="PARCELA" dataDxfId="35"/>
    <tableColumn id="5" xr3:uid="{B208693B-167D-4F05-8E1D-7EE481067905}" name="VENCIMENTO" dataDxfId="34"/>
    <tableColumn id="6" xr3:uid="{78CB9BEC-60FB-480F-9506-6140CE377421}" name="DATA DE PAGAMENTO" dataDxfId="33"/>
    <tableColumn id="7" xr3:uid="{40783350-FDEB-43DC-9C37-8CC950D8B62A}" name="FONTE DE PAGAMENTO" dataDxfId="32"/>
    <tableColumn id="8" xr3:uid="{E23D182B-2018-47FB-BC34-58210A47FEDE}" name="STATUS" dataDxfId="31"/>
    <tableColumn id="9" xr3:uid="{AC437EE6-2D5D-4B72-8390-6586E6C28906}" name="OBSERVAÇÃO" dataDxfId="3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BAFEB-8B0B-4D87-B6F3-2BE4ED5BDA4A}">
  <dimension ref="A1:I39"/>
  <sheetViews>
    <sheetView topLeftCell="A8" workbookViewId="0">
      <selection activeCell="C22" sqref="C22"/>
    </sheetView>
  </sheetViews>
  <sheetFormatPr defaultRowHeight="13.9"/>
  <cols>
    <col min="1" max="1" width="47.140625" customWidth="1"/>
    <col min="2" max="2" width="21" customWidth="1"/>
    <col min="3" max="3" width="18.140625" style="39" customWidth="1"/>
    <col min="4" max="4" width="19.5703125" customWidth="1"/>
    <col min="5" max="5" width="14" customWidth="1"/>
    <col min="6" max="6" width="16.28515625" customWidth="1"/>
    <col min="7" max="7" width="17.28515625" customWidth="1"/>
    <col min="8" max="8" width="9.7109375" customWidth="1"/>
    <col min="9" max="9" width="34.42578125" customWidth="1"/>
  </cols>
  <sheetData>
    <row r="1" spans="1:9" ht="29.25" customHeight="1">
      <c r="A1" s="13" t="s">
        <v>0</v>
      </c>
      <c r="B1" s="1"/>
      <c r="C1" s="32" t="s">
        <v>1</v>
      </c>
      <c r="D1" s="2" t="s">
        <v>2</v>
      </c>
      <c r="E1" s="3" t="s">
        <v>3</v>
      </c>
      <c r="F1" s="4" t="s">
        <v>4</v>
      </c>
      <c r="G1" s="5" t="s">
        <v>5</v>
      </c>
      <c r="H1" s="1"/>
      <c r="I1" s="1"/>
    </row>
    <row r="2" spans="1:9" ht="22.9">
      <c r="A2" s="6"/>
      <c r="B2" s="1"/>
      <c r="C2" s="32">
        <f>SUM(C5:C38)</f>
        <v>21673.759999999998</v>
      </c>
      <c r="D2" s="41">
        <f>SUM(C5:C13,C15:C28)</f>
        <v>16598.04</v>
      </c>
      <c r="E2" s="40">
        <f>SUM(C5:C10,C12:C14,C16,C19:C21,C29:C34,C23,C26:C27)</f>
        <v>18052.25</v>
      </c>
      <c r="F2" s="7"/>
      <c r="G2" s="42">
        <f>SUM(C11,C15,C17:C18,C22:C28)</f>
        <v>7688.53</v>
      </c>
      <c r="H2" s="1"/>
      <c r="I2" s="8">
        <v>45995</v>
      </c>
    </row>
    <row r="3" spans="1:9">
      <c r="A3" s="1"/>
      <c r="B3" s="1"/>
      <c r="C3" s="33"/>
      <c r="D3" s="1"/>
      <c r="E3" s="1"/>
      <c r="F3" s="1"/>
      <c r="G3" s="1"/>
      <c r="H3" s="1"/>
      <c r="I3" s="1"/>
    </row>
    <row r="4" spans="1:9" ht="27.6">
      <c r="A4" s="9" t="s">
        <v>6</v>
      </c>
      <c r="B4" s="10" t="s">
        <v>7</v>
      </c>
      <c r="C4" s="34" t="s">
        <v>8</v>
      </c>
      <c r="D4" s="10" t="s">
        <v>9</v>
      </c>
      <c r="E4" s="10" t="s">
        <v>10</v>
      </c>
      <c r="F4" s="11" t="s">
        <v>11</v>
      </c>
      <c r="G4" s="11" t="s">
        <v>12</v>
      </c>
      <c r="H4" s="10" t="s">
        <v>13</v>
      </c>
      <c r="I4" s="12" t="s">
        <v>14</v>
      </c>
    </row>
    <row r="5" spans="1:9">
      <c r="A5" s="27" t="s">
        <v>15</v>
      </c>
      <c r="B5" s="27" t="s">
        <v>16</v>
      </c>
      <c r="C5" s="35">
        <v>1900</v>
      </c>
      <c r="D5" s="27" t="s">
        <v>17</v>
      </c>
      <c r="E5" s="28">
        <v>46029</v>
      </c>
      <c r="F5" s="29">
        <v>46036</v>
      </c>
      <c r="G5" s="30" t="s">
        <v>18</v>
      </c>
      <c r="H5" s="30" t="s">
        <v>19</v>
      </c>
      <c r="I5" s="30"/>
    </row>
    <row r="6" spans="1:9">
      <c r="A6" s="27" t="s">
        <v>20</v>
      </c>
      <c r="B6" s="27" t="s">
        <v>21</v>
      </c>
      <c r="C6" s="35">
        <v>1000</v>
      </c>
      <c r="D6" s="27" t="s">
        <v>22</v>
      </c>
      <c r="E6" s="28">
        <v>46029</v>
      </c>
      <c r="F6" s="29">
        <v>46029</v>
      </c>
      <c r="G6" s="30" t="s">
        <v>18</v>
      </c>
      <c r="H6" s="30" t="s">
        <v>19</v>
      </c>
      <c r="I6" s="30"/>
    </row>
    <row r="7" spans="1:9">
      <c r="A7" s="17" t="s">
        <v>23</v>
      </c>
      <c r="B7" s="17" t="s">
        <v>24</v>
      </c>
      <c r="C7" s="31">
        <v>817.95</v>
      </c>
      <c r="D7" s="17" t="s">
        <v>22</v>
      </c>
      <c r="E7" s="16">
        <v>46032</v>
      </c>
      <c r="F7" s="16">
        <v>46065</v>
      </c>
      <c r="G7" s="17" t="s">
        <v>18</v>
      </c>
      <c r="H7" s="17" t="s">
        <v>19</v>
      </c>
      <c r="I7" s="17" t="s">
        <v>25</v>
      </c>
    </row>
    <row r="8" spans="1:9">
      <c r="A8" s="18" t="s">
        <v>26</v>
      </c>
      <c r="B8" s="18" t="s">
        <v>24</v>
      </c>
      <c r="C8" s="36">
        <v>568.04999999999995</v>
      </c>
      <c r="D8" s="18" t="s">
        <v>17</v>
      </c>
      <c r="E8" s="15">
        <v>46032</v>
      </c>
      <c r="F8" s="54">
        <v>46065</v>
      </c>
      <c r="G8" s="14" t="s">
        <v>18</v>
      </c>
      <c r="H8" s="17" t="s">
        <v>19</v>
      </c>
      <c r="I8" s="36" t="s">
        <v>27</v>
      </c>
    </row>
    <row r="9" spans="1:9">
      <c r="A9" s="18" t="s">
        <v>28</v>
      </c>
      <c r="B9" s="18" t="s">
        <v>24</v>
      </c>
      <c r="C9" s="36">
        <v>476.69</v>
      </c>
      <c r="D9" s="18" t="s">
        <v>17</v>
      </c>
      <c r="E9" s="15">
        <v>46032</v>
      </c>
      <c r="F9" s="54">
        <v>46065</v>
      </c>
      <c r="G9" s="14" t="s">
        <v>18</v>
      </c>
      <c r="H9" s="17" t="s">
        <v>19</v>
      </c>
      <c r="I9" s="17" t="s">
        <v>29</v>
      </c>
    </row>
    <row r="10" spans="1:9">
      <c r="A10" s="18" t="s">
        <v>30</v>
      </c>
      <c r="B10" s="18" t="s">
        <v>24</v>
      </c>
      <c r="C10" s="36">
        <v>314.99</v>
      </c>
      <c r="D10" s="18" t="s">
        <v>17</v>
      </c>
      <c r="E10" s="15">
        <v>46032</v>
      </c>
      <c r="F10" s="54">
        <v>46065</v>
      </c>
      <c r="G10" s="14" t="s">
        <v>18</v>
      </c>
      <c r="H10" s="17" t="s">
        <v>19</v>
      </c>
      <c r="I10" s="17" t="s">
        <v>31</v>
      </c>
    </row>
    <row r="11" spans="1:9">
      <c r="A11" s="18" t="s">
        <v>32</v>
      </c>
      <c r="B11" s="18" t="s">
        <v>33</v>
      </c>
      <c r="C11" s="36">
        <v>225</v>
      </c>
      <c r="D11" s="18" t="s">
        <v>22</v>
      </c>
      <c r="E11" s="15">
        <v>46032</v>
      </c>
      <c r="F11" s="19"/>
      <c r="G11" s="14" t="s">
        <v>18</v>
      </c>
      <c r="H11" s="17" t="s">
        <v>19</v>
      </c>
      <c r="I11" s="17" t="s">
        <v>34</v>
      </c>
    </row>
    <row r="12" spans="1:9">
      <c r="A12" s="14" t="s">
        <v>35</v>
      </c>
      <c r="B12" s="14" t="s">
        <v>36</v>
      </c>
      <c r="C12" s="36">
        <v>400</v>
      </c>
      <c r="D12" s="14" t="s">
        <v>17</v>
      </c>
      <c r="E12" s="15">
        <v>46032</v>
      </c>
      <c r="F12" s="16">
        <v>46037</v>
      </c>
      <c r="G12" s="17" t="s">
        <v>37</v>
      </c>
      <c r="H12" s="17" t="s">
        <v>19</v>
      </c>
      <c r="I12" s="20"/>
    </row>
    <row r="13" spans="1:9">
      <c r="A13" s="14" t="s">
        <v>35</v>
      </c>
      <c r="B13" s="14" t="s">
        <v>36</v>
      </c>
      <c r="C13" s="36">
        <v>200</v>
      </c>
      <c r="D13" s="14" t="s">
        <v>17</v>
      </c>
      <c r="E13" s="15">
        <v>46032</v>
      </c>
      <c r="F13" s="16">
        <v>46037</v>
      </c>
      <c r="G13" s="17" t="s">
        <v>37</v>
      </c>
      <c r="H13" s="17" t="s">
        <v>19</v>
      </c>
      <c r="I13" s="20"/>
    </row>
    <row r="14" spans="1:9">
      <c r="A14" s="21" t="s">
        <v>38</v>
      </c>
      <c r="B14" s="21" t="s">
        <v>39</v>
      </c>
      <c r="C14" s="37">
        <v>2056</v>
      </c>
      <c r="D14" s="21" t="s">
        <v>40</v>
      </c>
      <c r="E14" s="15">
        <v>46032</v>
      </c>
      <c r="F14" s="16">
        <v>46062</v>
      </c>
      <c r="G14" s="17" t="s">
        <v>18</v>
      </c>
      <c r="H14" s="17" t="s">
        <v>19</v>
      </c>
      <c r="I14" s="17" t="s">
        <v>41</v>
      </c>
    </row>
    <row r="15" spans="1:9">
      <c r="A15" s="14" t="s">
        <v>42</v>
      </c>
      <c r="B15" s="17" t="s">
        <v>43</v>
      </c>
      <c r="C15" s="36"/>
      <c r="D15" s="14" t="s">
        <v>17</v>
      </c>
      <c r="E15" s="15">
        <v>46032</v>
      </c>
      <c r="F15" s="16">
        <v>46161</v>
      </c>
      <c r="G15" s="17" t="s">
        <v>18</v>
      </c>
      <c r="H15" s="17" t="s">
        <v>19</v>
      </c>
      <c r="I15" s="17"/>
    </row>
    <row r="16" spans="1:9">
      <c r="A16" s="18" t="s">
        <v>44</v>
      </c>
      <c r="B16" s="18" t="s">
        <v>45</v>
      </c>
      <c r="C16" s="36">
        <v>262.89999999999998</v>
      </c>
      <c r="D16" s="18" t="s">
        <v>22</v>
      </c>
      <c r="E16" s="15">
        <v>46034</v>
      </c>
      <c r="F16" s="16">
        <v>46035</v>
      </c>
      <c r="G16" s="20" t="s">
        <v>37</v>
      </c>
      <c r="H16" s="17" t="s">
        <v>19</v>
      </c>
      <c r="I16" s="17"/>
    </row>
    <row r="17" spans="1:9">
      <c r="A17" s="17" t="s">
        <v>46</v>
      </c>
      <c r="B17" s="17" t="s">
        <v>21</v>
      </c>
      <c r="C17" s="36">
        <v>35</v>
      </c>
      <c r="D17" s="17" t="s">
        <v>22</v>
      </c>
      <c r="E17" s="15">
        <v>46038</v>
      </c>
      <c r="F17" s="16">
        <v>46082</v>
      </c>
      <c r="G17" s="17" t="s">
        <v>37</v>
      </c>
      <c r="H17" s="17" t="s">
        <v>19</v>
      </c>
      <c r="I17" s="17" t="s">
        <v>34</v>
      </c>
    </row>
    <row r="18" spans="1:9">
      <c r="A18" s="17" t="s">
        <v>47</v>
      </c>
      <c r="B18" s="17" t="s">
        <v>43</v>
      </c>
      <c r="C18" s="36">
        <v>675</v>
      </c>
      <c r="D18" s="17" t="s">
        <v>22</v>
      </c>
      <c r="E18" s="15">
        <v>46042</v>
      </c>
      <c r="F18" s="16"/>
      <c r="G18" s="20"/>
      <c r="H18" s="17"/>
      <c r="I18" s="17"/>
    </row>
    <row r="19" spans="1:9">
      <c r="A19" s="14" t="s">
        <v>48</v>
      </c>
      <c r="B19" s="14" t="s">
        <v>21</v>
      </c>
      <c r="C19" s="36">
        <v>1000</v>
      </c>
      <c r="D19" s="14" t="s">
        <v>17</v>
      </c>
      <c r="E19" s="15">
        <v>46044</v>
      </c>
      <c r="F19" s="16">
        <v>46044</v>
      </c>
      <c r="G19" s="20" t="s">
        <v>18</v>
      </c>
      <c r="H19" s="17" t="s">
        <v>19</v>
      </c>
      <c r="I19" s="17"/>
    </row>
    <row r="20" spans="1:9">
      <c r="A20" s="14" t="s">
        <v>49</v>
      </c>
      <c r="B20" s="14" t="s">
        <v>16</v>
      </c>
      <c r="C20" s="36">
        <v>1900</v>
      </c>
      <c r="D20" s="14" t="s">
        <v>17</v>
      </c>
      <c r="E20" s="15">
        <v>46044</v>
      </c>
      <c r="F20" s="16">
        <v>46044</v>
      </c>
      <c r="G20" s="20" t="s">
        <v>18</v>
      </c>
      <c r="H20" s="17" t="s">
        <v>19</v>
      </c>
      <c r="I20" s="17"/>
    </row>
    <row r="21" spans="1:9">
      <c r="A21" s="14" t="s">
        <v>50</v>
      </c>
      <c r="B21" s="14" t="s">
        <v>21</v>
      </c>
      <c r="C21" s="36">
        <v>68.930000000000007</v>
      </c>
      <c r="D21" s="14" t="s">
        <v>17</v>
      </c>
      <c r="E21" s="15">
        <v>46047</v>
      </c>
      <c r="F21" s="16">
        <v>46055</v>
      </c>
      <c r="G21" s="17" t="s">
        <v>18</v>
      </c>
      <c r="H21" s="17" t="s">
        <v>19</v>
      </c>
      <c r="I21" s="17"/>
    </row>
    <row r="22" spans="1:9">
      <c r="A22" s="17" t="s">
        <v>51</v>
      </c>
      <c r="B22" s="17" t="s">
        <v>43</v>
      </c>
      <c r="C22" s="36"/>
      <c r="D22" s="17" t="s">
        <v>17</v>
      </c>
      <c r="E22" s="15">
        <v>46048</v>
      </c>
      <c r="F22" s="16">
        <v>46161</v>
      </c>
      <c r="G22" s="17" t="s">
        <v>18</v>
      </c>
      <c r="H22" s="17" t="s">
        <v>19</v>
      </c>
      <c r="I22" s="17" t="s">
        <v>52</v>
      </c>
    </row>
    <row r="23" spans="1:9">
      <c r="A23" s="17" t="s">
        <v>53</v>
      </c>
      <c r="B23" s="17" t="s">
        <v>45</v>
      </c>
      <c r="C23" s="36">
        <v>1867.02</v>
      </c>
      <c r="D23" s="17" t="s">
        <v>17</v>
      </c>
      <c r="E23" s="15">
        <v>46051</v>
      </c>
      <c r="F23" s="19"/>
      <c r="G23" s="14"/>
      <c r="H23" s="17" t="s">
        <v>19</v>
      </c>
      <c r="I23" s="17" t="s">
        <v>54</v>
      </c>
    </row>
    <row r="24" spans="1:9">
      <c r="A24" s="17" t="s">
        <v>55</v>
      </c>
      <c r="B24" s="17" t="s">
        <v>43</v>
      </c>
      <c r="C24" s="36">
        <v>507</v>
      </c>
      <c r="D24" s="17" t="s">
        <v>22</v>
      </c>
      <c r="E24" s="15">
        <v>46052</v>
      </c>
      <c r="F24" s="19"/>
      <c r="G24" s="14"/>
      <c r="H24" s="17"/>
      <c r="I24" s="17"/>
    </row>
    <row r="25" spans="1:9">
      <c r="A25" s="22" t="s">
        <v>56</v>
      </c>
      <c r="B25" s="22" t="s">
        <v>57</v>
      </c>
      <c r="C25" s="38">
        <v>179.51</v>
      </c>
      <c r="D25" s="22" t="s">
        <v>22</v>
      </c>
      <c r="E25" s="23">
        <v>46052</v>
      </c>
      <c r="F25" s="24"/>
      <c r="G25" s="25"/>
      <c r="H25" s="17"/>
      <c r="I25" s="26" t="s">
        <v>58</v>
      </c>
    </row>
    <row r="26" spans="1:9">
      <c r="A26" s="18" t="s">
        <v>59</v>
      </c>
      <c r="B26" s="18" t="s">
        <v>60</v>
      </c>
      <c r="C26" s="36">
        <v>1200</v>
      </c>
      <c r="D26" s="18" t="s">
        <v>17</v>
      </c>
      <c r="E26" s="23">
        <v>46052</v>
      </c>
      <c r="F26" s="19"/>
      <c r="G26" s="14"/>
      <c r="H26" s="17" t="s">
        <v>19</v>
      </c>
      <c r="I26" s="17"/>
    </row>
    <row r="27" spans="1:9">
      <c r="A27" s="22" t="s">
        <v>61</v>
      </c>
      <c r="B27" s="22" t="s">
        <v>62</v>
      </c>
      <c r="C27" s="38">
        <v>1000</v>
      </c>
      <c r="D27" s="22" t="s">
        <v>17</v>
      </c>
      <c r="E27" s="23">
        <v>46052</v>
      </c>
      <c r="F27" s="24"/>
      <c r="G27" s="25"/>
      <c r="H27" s="26" t="s">
        <v>19</v>
      </c>
      <c r="I27" s="26"/>
    </row>
    <row r="28" spans="1:9">
      <c r="A28" s="43" t="s">
        <v>63</v>
      </c>
      <c r="B28" s="43"/>
      <c r="C28" s="44">
        <v>2000</v>
      </c>
      <c r="D28" s="43" t="s">
        <v>22</v>
      </c>
      <c r="E28" s="45">
        <v>46052</v>
      </c>
      <c r="F28" s="46"/>
      <c r="G28" s="46"/>
      <c r="H28" s="46"/>
      <c r="I28" s="46"/>
    </row>
    <row r="29" spans="1:9" ht="27.6">
      <c r="A29" s="50" t="s">
        <v>64</v>
      </c>
      <c r="B29" s="51" t="s">
        <v>65</v>
      </c>
      <c r="C29" s="52">
        <v>789</v>
      </c>
      <c r="D29" s="51" t="s">
        <v>66</v>
      </c>
      <c r="E29" s="51"/>
      <c r="F29" s="53">
        <v>46027</v>
      </c>
      <c r="G29" s="51"/>
      <c r="H29" s="51" t="s">
        <v>19</v>
      </c>
      <c r="I29" s="51"/>
    </row>
    <row r="30" spans="1:9">
      <c r="A30" s="47" t="s">
        <v>67</v>
      </c>
      <c r="B30" s="47" t="s">
        <v>24</v>
      </c>
      <c r="C30" s="48">
        <v>219.76</v>
      </c>
      <c r="D30" s="47" t="s">
        <v>68</v>
      </c>
      <c r="E30" s="47"/>
      <c r="F30" s="49">
        <v>46033</v>
      </c>
      <c r="G30" s="47"/>
      <c r="H30" s="47" t="s">
        <v>19</v>
      </c>
      <c r="I30" s="47"/>
    </row>
    <row r="31" spans="1:9">
      <c r="A31" s="51" t="s">
        <v>67</v>
      </c>
      <c r="B31" s="51" t="s">
        <v>24</v>
      </c>
      <c r="C31" s="52">
        <v>140</v>
      </c>
      <c r="D31" s="51" t="s">
        <v>68</v>
      </c>
      <c r="E31" s="51"/>
      <c r="F31" s="53">
        <v>46037</v>
      </c>
      <c r="G31" s="51"/>
      <c r="H31" s="51" t="s">
        <v>19</v>
      </c>
      <c r="I31" s="55">
        <v>0.15</v>
      </c>
    </row>
    <row r="32" spans="1:9">
      <c r="A32" s="47" t="s">
        <v>69</v>
      </c>
      <c r="B32" s="47" t="s">
        <v>45</v>
      </c>
      <c r="C32" s="48">
        <v>380</v>
      </c>
      <c r="D32" s="47" t="s">
        <v>70</v>
      </c>
      <c r="E32" s="47"/>
      <c r="F32" s="49">
        <v>46037</v>
      </c>
      <c r="G32" s="47"/>
      <c r="H32" s="47" t="s">
        <v>19</v>
      </c>
      <c r="I32" s="47"/>
    </row>
    <row r="33" spans="1:9">
      <c r="A33" s="47" t="s">
        <v>71</v>
      </c>
      <c r="B33" s="47" t="s">
        <v>45</v>
      </c>
      <c r="C33" s="48">
        <v>1460</v>
      </c>
      <c r="D33" s="49" t="s">
        <v>68</v>
      </c>
      <c r="E33" s="47"/>
      <c r="F33" s="49">
        <v>46036</v>
      </c>
      <c r="G33" s="47"/>
      <c r="H33" s="47" t="s">
        <v>19</v>
      </c>
      <c r="I33" s="47"/>
    </row>
    <row r="34" spans="1:9">
      <c r="A34" s="47" t="s">
        <v>72</v>
      </c>
      <c r="B34" s="47" t="s">
        <v>21</v>
      </c>
      <c r="C34" s="48">
        <v>30.96</v>
      </c>
      <c r="D34" s="47" t="s">
        <v>68</v>
      </c>
      <c r="E34" s="47"/>
      <c r="F34" s="49">
        <v>46043</v>
      </c>
      <c r="G34" s="47"/>
      <c r="H34" s="47" t="s">
        <v>19</v>
      </c>
      <c r="I34" s="47"/>
    </row>
    <row r="38" spans="1:9">
      <c r="A38" s="1"/>
      <c r="B38" s="1"/>
      <c r="C38" s="33"/>
      <c r="D38" s="1"/>
      <c r="E38" s="1"/>
      <c r="F38" s="1"/>
      <c r="G38" s="1"/>
      <c r="H38" s="1"/>
      <c r="I38" s="1"/>
    </row>
    <row r="39" spans="1:9">
      <c r="A39" s="74"/>
      <c r="B39" s="1"/>
      <c r="C39" s="33"/>
      <c r="D39" s="1"/>
      <c r="E39" s="1"/>
      <c r="F39" s="1"/>
      <c r="G39" s="1"/>
      <c r="H39" s="1"/>
      <c r="I39" s="1"/>
    </row>
  </sheetData>
  <conditionalFormatting sqref="A5:I21 A23:I28 A22:E22 I22">
    <cfRule type="expression" dxfId="67" priority="4">
      <formula>AND($E5&lt;TODAY(),$H5&lt;&gt;"PAGO")</formula>
    </cfRule>
    <cfRule type="expression" dxfId="66" priority="8">
      <formula>$H5="pago"</formula>
    </cfRule>
  </conditionalFormatting>
  <conditionalFormatting sqref="A7:I7 H8:H21 H23:H28">
    <cfRule type="expression" dxfId="65" priority="9">
      <formula>$H7="pago"</formula>
    </cfRule>
  </conditionalFormatting>
  <conditionalFormatting sqref="F22:H22">
    <cfRule type="expression" dxfId="64" priority="1">
      <formula>AND($E22&lt;TODAY(),$H22&lt;&gt;"PAGO")</formula>
    </cfRule>
    <cfRule type="expression" dxfId="63" priority="2">
      <formula>$H22="pago"</formula>
    </cfRule>
  </conditionalFormatting>
  <conditionalFormatting sqref="H22">
    <cfRule type="expression" dxfId="62" priority="3">
      <formula>$H22="pago"</formula>
    </cfRule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C9D22-D3D2-483E-94B4-16B602ECB3DC}">
  <dimension ref="A1:I41"/>
  <sheetViews>
    <sheetView topLeftCell="A18" workbookViewId="0">
      <selection activeCell="C22" sqref="C22"/>
    </sheetView>
  </sheetViews>
  <sheetFormatPr defaultRowHeight="13.9"/>
  <cols>
    <col min="1" max="1" width="42" customWidth="1"/>
    <col min="2" max="2" width="16.42578125" customWidth="1"/>
    <col min="3" max="3" width="15" customWidth="1"/>
    <col min="4" max="4" width="17" customWidth="1"/>
    <col min="5" max="5" width="15.140625" customWidth="1"/>
    <col min="6" max="6" width="15.42578125" customWidth="1"/>
    <col min="7" max="7" width="21.42578125" customWidth="1"/>
    <col min="9" max="9" width="25.5703125" customWidth="1"/>
  </cols>
  <sheetData>
    <row r="1" spans="1:9" ht="45.6">
      <c r="A1" s="56" t="s">
        <v>73</v>
      </c>
      <c r="B1" s="1"/>
      <c r="C1" s="32" t="s">
        <v>1</v>
      </c>
      <c r="D1" s="2" t="s">
        <v>2</v>
      </c>
      <c r="E1" s="3" t="s">
        <v>3</v>
      </c>
      <c r="F1" s="4" t="s">
        <v>4</v>
      </c>
      <c r="G1" s="5" t="s">
        <v>5</v>
      </c>
      <c r="H1" s="1"/>
      <c r="I1" s="1"/>
    </row>
    <row r="2" spans="1:9" ht="22.9">
      <c r="A2" s="6" t="s">
        <v>74</v>
      </c>
      <c r="B2" s="1"/>
      <c r="C2" s="32">
        <f>SUM(C5:C39)</f>
        <v>20706.07</v>
      </c>
      <c r="D2" s="41">
        <f>SUM(C5:C13,C15:C28)</f>
        <v>14026.43</v>
      </c>
      <c r="E2" s="40">
        <f>SUM(C5:C6,C12:C14,C29:C38,C16,C18:C20,C26:C27)</f>
        <v>16117.539999999999</v>
      </c>
      <c r="F2" s="69">
        <f>SUM(C24:C25,C28)</f>
        <v>2686.51</v>
      </c>
      <c r="G2" s="42">
        <f>SUM(C7:C11,C15,C17,C21:C22)</f>
        <v>35</v>
      </c>
      <c r="H2" s="1"/>
      <c r="I2" s="8">
        <v>46077</v>
      </c>
    </row>
    <row r="3" spans="1:9">
      <c r="A3" s="1"/>
      <c r="B3" s="1"/>
      <c r="C3" s="33"/>
      <c r="D3" s="1"/>
      <c r="E3" s="1"/>
      <c r="F3" s="1"/>
      <c r="G3" s="1"/>
      <c r="H3" s="1"/>
      <c r="I3" s="1"/>
    </row>
    <row r="4" spans="1:9" ht="27.6">
      <c r="A4" s="9" t="s">
        <v>6</v>
      </c>
      <c r="B4" s="10" t="s">
        <v>7</v>
      </c>
      <c r="C4" s="34" t="s">
        <v>8</v>
      </c>
      <c r="D4" s="10" t="s">
        <v>9</v>
      </c>
      <c r="E4" s="10" t="s">
        <v>10</v>
      </c>
      <c r="F4" s="11" t="s">
        <v>11</v>
      </c>
      <c r="G4" s="11" t="s">
        <v>12</v>
      </c>
      <c r="H4" s="10" t="s">
        <v>13</v>
      </c>
      <c r="I4" s="12" t="s">
        <v>14</v>
      </c>
    </row>
    <row r="5" spans="1:9">
      <c r="A5" s="27" t="s">
        <v>15</v>
      </c>
      <c r="B5" s="27" t="s">
        <v>16</v>
      </c>
      <c r="C5" s="35">
        <v>1900</v>
      </c>
      <c r="D5" s="27" t="s">
        <v>17</v>
      </c>
      <c r="E5" s="28">
        <v>46060</v>
      </c>
      <c r="F5" s="29">
        <v>46062</v>
      </c>
      <c r="G5" s="30" t="s">
        <v>18</v>
      </c>
      <c r="H5" s="30" t="s">
        <v>19</v>
      </c>
      <c r="I5" s="30"/>
    </row>
    <row r="6" spans="1:9">
      <c r="A6" s="27" t="s">
        <v>20</v>
      </c>
      <c r="B6" s="27" t="s">
        <v>21</v>
      </c>
      <c r="C6" s="35">
        <v>1250</v>
      </c>
      <c r="D6" s="27" t="s">
        <v>22</v>
      </c>
      <c r="E6" s="28">
        <v>46060</v>
      </c>
      <c r="F6" s="29">
        <v>46062</v>
      </c>
      <c r="G6" s="30" t="s">
        <v>18</v>
      </c>
      <c r="H6" s="30" t="s">
        <v>19</v>
      </c>
      <c r="I6" s="30"/>
    </row>
    <row r="7" spans="1:9">
      <c r="A7" s="17" t="s">
        <v>23</v>
      </c>
      <c r="B7" s="17" t="s">
        <v>24</v>
      </c>
      <c r="C7" s="31">
        <v>0</v>
      </c>
      <c r="D7" s="17" t="s">
        <v>22</v>
      </c>
      <c r="E7" s="16">
        <v>46063</v>
      </c>
      <c r="F7" s="16"/>
      <c r="G7" s="17"/>
      <c r="H7" s="17" t="s">
        <v>19</v>
      </c>
      <c r="I7" s="98" t="s">
        <v>34</v>
      </c>
    </row>
    <row r="8" spans="1:9">
      <c r="A8" s="18" t="s">
        <v>26</v>
      </c>
      <c r="B8" s="18" t="s">
        <v>24</v>
      </c>
      <c r="C8" s="36">
        <v>0</v>
      </c>
      <c r="D8" s="18" t="s">
        <v>17</v>
      </c>
      <c r="E8" s="15">
        <v>46063</v>
      </c>
      <c r="F8" s="54"/>
      <c r="G8" s="14"/>
      <c r="H8" s="17" t="s">
        <v>19</v>
      </c>
      <c r="I8" s="98" t="s">
        <v>34</v>
      </c>
    </row>
    <row r="9" spans="1:9">
      <c r="A9" s="18" t="s">
        <v>28</v>
      </c>
      <c r="B9" s="18" t="s">
        <v>24</v>
      </c>
      <c r="C9" s="36">
        <v>0</v>
      </c>
      <c r="D9" s="18" t="s">
        <v>17</v>
      </c>
      <c r="E9" s="15">
        <v>46063</v>
      </c>
      <c r="F9" s="19"/>
      <c r="G9" s="14"/>
      <c r="H9" s="17" t="s">
        <v>19</v>
      </c>
      <c r="I9" s="98" t="s">
        <v>34</v>
      </c>
    </row>
    <row r="10" spans="1:9">
      <c r="A10" s="18" t="s">
        <v>30</v>
      </c>
      <c r="B10" s="18" t="s">
        <v>24</v>
      </c>
      <c r="C10" s="36">
        <v>0</v>
      </c>
      <c r="D10" s="18" t="s">
        <v>17</v>
      </c>
      <c r="E10" s="15">
        <v>46063</v>
      </c>
      <c r="F10" s="19"/>
      <c r="G10" s="14"/>
      <c r="H10" s="17" t="s">
        <v>19</v>
      </c>
      <c r="I10" s="98" t="s">
        <v>34</v>
      </c>
    </row>
    <row r="11" spans="1:9">
      <c r="A11" s="18" t="s">
        <v>32</v>
      </c>
      <c r="B11" s="18" t="s">
        <v>33</v>
      </c>
      <c r="C11" s="36">
        <v>0</v>
      </c>
      <c r="D11" s="18" t="s">
        <v>22</v>
      </c>
      <c r="E11" s="15">
        <v>46063</v>
      </c>
      <c r="F11" s="19"/>
      <c r="G11" s="14"/>
      <c r="H11" s="17"/>
      <c r="I11" s="98"/>
    </row>
    <row r="12" spans="1:9">
      <c r="A12" s="14" t="s">
        <v>35</v>
      </c>
      <c r="B12" s="14" t="s">
        <v>36</v>
      </c>
      <c r="C12" s="36">
        <v>0</v>
      </c>
      <c r="D12" s="14" t="s">
        <v>17</v>
      </c>
      <c r="E12" s="15">
        <v>46063</v>
      </c>
      <c r="F12" s="16">
        <v>46065</v>
      </c>
      <c r="G12" s="17" t="s">
        <v>18</v>
      </c>
      <c r="H12" s="17" t="s">
        <v>19</v>
      </c>
      <c r="I12" s="20"/>
    </row>
    <row r="13" spans="1:9">
      <c r="A13" s="14" t="s">
        <v>35</v>
      </c>
      <c r="B13" s="14" t="s">
        <v>36</v>
      </c>
      <c r="C13" s="36">
        <v>0</v>
      </c>
      <c r="D13" s="14" t="s">
        <v>17</v>
      </c>
      <c r="E13" s="15">
        <v>46063</v>
      </c>
      <c r="F13" s="16">
        <v>46065</v>
      </c>
      <c r="G13" s="17" t="s">
        <v>18</v>
      </c>
      <c r="H13" s="17" t="s">
        <v>19</v>
      </c>
      <c r="I13" s="20"/>
    </row>
    <row r="14" spans="1:9">
      <c r="A14" s="21" t="s">
        <v>38</v>
      </c>
      <c r="B14" s="21" t="s">
        <v>39</v>
      </c>
      <c r="C14" s="37">
        <v>2056</v>
      </c>
      <c r="D14" s="21" t="s">
        <v>75</v>
      </c>
      <c r="E14" s="15">
        <v>46063</v>
      </c>
      <c r="F14" s="16">
        <v>46062</v>
      </c>
      <c r="G14" s="17" t="s">
        <v>18</v>
      </c>
      <c r="H14" s="17" t="s">
        <v>19</v>
      </c>
      <c r="I14" s="17"/>
    </row>
    <row r="15" spans="1:9">
      <c r="A15" s="14" t="s">
        <v>42</v>
      </c>
      <c r="B15" s="17" t="s">
        <v>43</v>
      </c>
      <c r="C15" s="36"/>
      <c r="D15" s="14" t="s">
        <v>17</v>
      </c>
      <c r="E15" s="15">
        <v>46063</v>
      </c>
      <c r="F15" s="16">
        <v>46161</v>
      </c>
      <c r="G15" s="17" t="s">
        <v>18</v>
      </c>
      <c r="H15" s="17" t="s">
        <v>19</v>
      </c>
      <c r="I15" s="17"/>
    </row>
    <row r="16" spans="1:9">
      <c r="A16" s="18" t="s">
        <v>44</v>
      </c>
      <c r="B16" s="18" t="s">
        <v>45</v>
      </c>
      <c r="C16" s="36">
        <v>262.89999999999998</v>
      </c>
      <c r="D16" s="18" t="s">
        <v>22</v>
      </c>
      <c r="E16" s="15">
        <v>46065</v>
      </c>
      <c r="F16" s="67"/>
      <c r="G16" s="20" t="s">
        <v>18</v>
      </c>
      <c r="H16" s="17" t="s">
        <v>19</v>
      </c>
      <c r="I16" s="17"/>
    </row>
    <row r="17" spans="1:9">
      <c r="A17" s="17" t="s">
        <v>46</v>
      </c>
      <c r="B17" s="17" t="s">
        <v>21</v>
      </c>
      <c r="C17" s="36">
        <v>35</v>
      </c>
      <c r="D17" s="17" t="s">
        <v>22</v>
      </c>
      <c r="E17" s="15">
        <v>46069</v>
      </c>
      <c r="F17" s="16">
        <v>46082</v>
      </c>
      <c r="G17" s="17" t="s">
        <v>37</v>
      </c>
      <c r="H17" s="17" t="s">
        <v>19</v>
      </c>
      <c r="I17" s="20" t="s">
        <v>34</v>
      </c>
    </row>
    <row r="18" spans="1:9">
      <c r="A18" s="17" t="s">
        <v>47</v>
      </c>
      <c r="B18" s="17" t="s">
        <v>43</v>
      </c>
      <c r="C18" s="36">
        <v>675</v>
      </c>
      <c r="D18" s="17" t="s">
        <v>22</v>
      </c>
      <c r="E18" s="15">
        <v>46073</v>
      </c>
      <c r="F18" s="16">
        <v>46076</v>
      </c>
      <c r="G18" s="20" t="s">
        <v>18</v>
      </c>
      <c r="H18" s="17" t="s">
        <v>19</v>
      </c>
      <c r="I18" s="17"/>
    </row>
    <row r="19" spans="1:9">
      <c r="A19" s="14" t="s">
        <v>48</v>
      </c>
      <c r="B19" s="14" t="s">
        <v>21</v>
      </c>
      <c r="C19" s="36">
        <v>1250</v>
      </c>
      <c r="D19" s="14" t="s">
        <v>17</v>
      </c>
      <c r="E19" s="15">
        <v>46075</v>
      </c>
      <c r="F19" s="16">
        <v>46076</v>
      </c>
      <c r="G19" s="20" t="s">
        <v>18</v>
      </c>
      <c r="H19" s="17" t="s">
        <v>19</v>
      </c>
      <c r="I19" s="17"/>
    </row>
    <row r="20" spans="1:9">
      <c r="A20" s="14" t="s">
        <v>49</v>
      </c>
      <c r="B20" s="14" t="s">
        <v>16</v>
      </c>
      <c r="C20" s="36">
        <v>1900</v>
      </c>
      <c r="D20" s="14" t="s">
        <v>17</v>
      </c>
      <c r="E20" s="15">
        <v>46075</v>
      </c>
      <c r="F20" s="16">
        <v>46076</v>
      </c>
      <c r="G20" s="20" t="s">
        <v>18</v>
      </c>
      <c r="H20" s="17" t="s">
        <v>19</v>
      </c>
      <c r="I20" s="17"/>
    </row>
    <row r="21" spans="1:9">
      <c r="A21" s="94" t="s">
        <v>50</v>
      </c>
      <c r="B21" s="94" t="s">
        <v>21</v>
      </c>
      <c r="C21" s="95">
        <v>0</v>
      </c>
      <c r="D21" s="94" t="s">
        <v>17</v>
      </c>
      <c r="E21" s="96">
        <v>46078</v>
      </c>
      <c r="F21" s="97">
        <v>46106</v>
      </c>
      <c r="G21" s="98" t="s">
        <v>18</v>
      </c>
      <c r="H21" s="98" t="s">
        <v>19</v>
      </c>
      <c r="I21" s="98" t="s">
        <v>34</v>
      </c>
    </row>
    <row r="22" spans="1:9">
      <c r="A22" s="17" t="s">
        <v>51</v>
      </c>
      <c r="B22" s="17" t="s">
        <v>43</v>
      </c>
      <c r="C22" s="36"/>
      <c r="D22" s="17" t="s">
        <v>17</v>
      </c>
      <c r="E22" s="57">
        <v>46079</v>
      </c>
      <c r="F22" s="16">
        <v>46161</v>
      </c>
      <c r="G22" s="17" t="s">
        <v>18</v>
      </c>
      <c r="H22" s="17" t="s">
        <v>19</v>
      </c>
      <c r="I22" s="17"/>
    </row>
    <row r="23" spans="1:9">
      <c r="A23" s="17" t="s">
        <v>53</v>
      </c>
      <c r="B23" s="17" t="s">
        <v>45</v>
      </c>
      <c r="C23" s="36">
        <v>1867.02</v>
      </c>
      <c r="D23" s="17" t="s">
        <v>17</v>
      </c>
      <c r="E23" s="57" t="s">
        <v>76</v>
      </c>
      <c r="F23" s="19"/>
      <c r="G23" s="14"/>
      <c r="H23" s="17" t="s">
        <v>19</v>
      </c>
      <c r="I23" s="17"/>
    </row>
    <row r="24" spans="1:9">
      <c r="A24" s="17" t="s">
        <v>55</v>
      </c>
      <c r="B24" s="17" t="s">
        <v>43</v>
      </c>
      <c r="C24" s="36">
        <v>507</v>
      </c>
      <c r="D24" s="17" t="s">
        <v>22</v>
      </c>
      <c r="E24" s="57" t="s">
        <v>77</v>
      </c>
      <c r="F24" s="19"/>
      <c r="G24" s="14"/>
      <c r="H24" s="17"/>
      <c r="I24" s="17"/>
    </row>
    <row r="25" spans="1:9">
      <c r="A25" s="22" t="s">
        <v>56</v>
      </c>
      <c r="B25" s="22" t="s">
        <v>57</v>
      </c>
      <c r="C25" s="38">
        <v>179.51</v>
      </c>
      <c r="D25" s="22" t="s">
        <v>22</v>
      </c>
      <c r="E25" s="58" t="s">
        <v>77</v>
      </c>
      <c r="F25" s="24"/>
      <c r="G25" s="25"/>
      <c r="H25" s="17"/>
      <c r="I25" s="26" t="s">
        <v>78</v>
      </c>
    </row>
    <row r="26" spans="1:9">
      <c r="A26" s="18" t="s">
        <v>59</v>
      </c>
      <c r="B26" s="18" t="s">
        <v>60</v>
      </c>
      <c r="C26" s="36">
        <v>1200</v>
      </c>
      <c r="D26" s="18" t="s">
        <v>17</v>
      </c>
      <c r="E26" s="58" t="s">
        <v>77</v>
      </c>
      <c r="F26" s="19"/>
      <c r="G26" s="14"/>
      <c r="H26" s="17" t="s">
        <v>19</v>
      </c>
      <c r="I26" s="17"/>
    </row>
    <row r="27" spans="1:9">
      <c r="A27" s="22" t="s">
        <v>61</v>
      </c>
      <c r="B27" s="22" t="s">
        <v>62</v>
      </c>
      <c r="C27" s="38">
        <v>1000</v>
      </c>
      <c r="D27" s="22" t="s">
        <v>17</v>
      </c>
      <c r="E27" s="58" t="s">
        <v>77</v>
      </c>
      <c r="F27" s="24"/>
      <c r="G27" s="25"/>
      <c r="H27" s="26" t="s">
        <v>19</v>
      </c>
      <c r="I27" s="26"/>
    </row>
    <row r="28" spans="1:9">
      <c r="A28" s="18" t="s">
        <v>63</v>
      </c>
      <c r="B28" s="18"/>
      <c r="C28" s="36">
        <v>2000</v>
      </c>
      <c r="D28" s="18" t="s">
        <v>22</v>
      </c>
      <c r="E28" s="59" t="s">
        <v>77</v>
      </c>
      <c r="F28" s="17"/>
      <c r="G28" s="17"/>
      <c r="H28" s="17"/>
      <c r="I28" s="17"/>
    </row>
    <row r="29" spans="1:9">
      <c r="A29" s="63" t="s">
        <v>79</v>
      </c>
      <c r="B29" s="63" t="s">
        <v>21</v>
      </c>
      <c r="C29" s="64">
        <v>1000</v>
      </c>
      <c r="D29" s="63"/>
      <c r="E29" s="63"/>
      <c r="F29" s="65">
        <v>46062</v>
      </c>
      <c r="G29" s="63" t="s">
        <v>18</v>
      </c>
      <c r="H29" s="63" t="s">
        <v>19</v>
      </c>
      <c r="I29" s="63"/>
    </row>
    <row r="30" spans="1:9" ht="27.6">
      <c r="A30" s="68" t="s">
        <v>80</v>
      </c>
      <c r="B30" s="63" t="s">
        <v>45</v>
      </c>
      <c r="C30" s="64">
        <v>560</v>
      </c>
      <c r="D30" s="63"/>
      <c r="E30" s="63"/>
      <c r="F30" s="65">
        <v>46062</v>
      </c>
      <c r="G30" s="63" t="s">
        <v>18</v>
      </c>
      <c r="H30" s="63" t="s">
        <v>19</v>
      </c>
      <c r="I30" s="63"/>
    </row>
    <row r="31" spans="1:9">
      <c r="A31" s="68" t="s">
        <v>81</v>
      </c>
      <c r="B31" s="63" t="s">
        <v>21</v>
      </c>
      <c r="C31" s="64">
        <v>386.82</v>
      </c>
      <c r="D31" s="63"/>
      <c r="E31" s="63"/>
      <c r="F31" s="65">
        <v>46071</v>
      </c>
      <c r="G31" s="63" t="s">
        <v>18</v>
      </c>
      <c r="H31" s="63" t="s">
        <v>19</v>
      </c>
      <c r="I31" s="63"/>
    </row>
    <row r="32" spans="1:9">
      <c r="A32" s="68" t="s">
        <v>82</v>
      </c>
      <c r="B32" s="63" t="s">
        <v>21</v>
      </c>
      <c r="C32" s="64">
        <v>75</v>
      </c>
      <c r="D32" s="63"/>
      <c r="E32" s="65"/>
      <c r="F32" s="65">
        <v>46072</v>
      </c>
      <c r="G32" s="63" t="s">
        <v>18</v>
      </c>
      <c r="H32" s="63" t="s">
        <v>19</v>
      </c>
      <c r="I32" s="63"/>
    </row>
    <row r="33" spans="1:9">
      <c r="A33" s="68" t="s">
        <v>83</v>
      </c>
      <c r="B33" s="63" t="s">
        <v>45</v>
      </c>
      <c r="C33" s="64">
        <v>380</v>
      </c>
      <c r="D33" s="63" t="s">
        <v>84</v>
      </c>
      <c r="E33" s="65"/>
      <c r="F33" s="65">
        <v>46072</v>
      </c>
      <c r="G33" s="63" t="s">
        <v>18</v>
      </c>
      <c r="H33" s="63" t="s">
        <v>19</v>
      </c>
      <c r="I33" s="63"/>
    </row>
    <row r="34" spans="1:9">
      <c r="A34" s="68" t="s">
        <v>85</v>
      </c>
      <c r="B34" s="63" t="s">
        <v>45</v>
      </c>
      <c r="C34" s="64">
        <v>834.82</v>
      </c>
      <c r="D34" s="63"/>
      <c r="E34" s="65"/>
      <c r="F34" s="65">
        <v>46072</v>
      </c>
      <c r="G34" s="63" t="s">
        <v>18</v>
      </c>
      <c r="H34" s="63" t="s">
        <v>19</v>
      </c>
      <c r="I34" s="63"/>
    </row>
    <row r="35" spans="1:9">
      <c r="A35" s="68" t="s">
        <v>86</v>
      </c>
      <c r="B35" s="63" t="s">
        <v>87</v>
      </c>
      <c r="C35" s="64">
        <v>250</v>
      </c>
      <c r="D35" s="63"/>
      <c r="E35" s="65"/>
      <c r="F35" s="65">
        <v>46073</v>
      </c>
      <c r="G35" s="63" t="s">
        <v>18</v>
      </c>
      <c r="H35" s="63" t="s">
        <v>19</v>
      </c>
      <c r="I35" s="63" t="s">
        <v>88</v>
      </c>
    </row>
    <row r="36" spans="1:9">
      <c r="A36" s="68" t="s">
        <v>51</v>
      </c>
      <c r="B36" s="63" t="s">
        <v>87</v>
      </c>
      <c r="C36" s="64">
        <v>1100</v>
      </c>
      <c r="D36" s="63"/>
      <c r="E36" s="65"/>
      <c r="F36" s="65">
        <v>46073</v>
      </c>
      <c r="G36" s="63" t="s">
        <v>18</v>
      </c>
      <c r="H36" s="63" t="s">
        <v>19</v>
      </c>
      <c r="I36" s="63" t="s">
        <v>88</v>
      </c>
    </row>
    <row r="37" spans="1:9">
      <c r="A37" s="66" t="s">
        <v>89</v>
      </c>
      <c r="B37" s="60" t="s">
        <v>21</v>
      </c>
      <c r="C37" s="61">
        <v>37</v>
      </c>
      <c r="D37" s="60"/>
      <c r="E37" s="62"/>
      <c r="F37" s="62">
        <v>46078</v>
      </c>
      <c r="G37" s="60" t="s">
        <v>18</v>
      </c>
      <c r="H37" s="60" t="s">
        <v>19</v>
      </c>
      <c r="I37" s="60"/>
    </row>
    <row r="38" spans="1:9">
      <c r="A38" s="70"/>
      <c r="B38" s="71"/>
      <c r="C38" s="72"/>
      <c r="D38" s="71"/>
      <c r="E38" s="73"/>
      <c r="F38" s="73"/>
      <c r="G38" s="71"/>
      <c r="H38" s="71"/>
      <c r="I38" s="71"/>
    </row>
    <row r="39" spans="1:9">
      <c r="A39" s="1"/>
      <c r="B39" s="1"/>
      <c r="C39" s="33"/>
      <c r="D39" s="1"/>
      <c r="E39" s="1"/>
      <c r="F39" s="1"/>
      <c r="G39" s="1"/>
      <c r="H39" s="1"/>
      <c r="I39" s="1"/>
    </row>
    <row r="40" spans="1:9">
      <c r="A40" s="1"/>
      <c r="B40" s="33"/>
      <c r="C40" s="1"/>
      <c r="D40" s="1"/>
      <c r="E40" s="1"/>
      <c r="F40" s="1"/>
      <c r="G40" s="1"/>
      <c r="H40" s="1"/>
    </row>
    <row r="41" spans="1:9">
      <c r="A41" s="99"/>
    </row>
  </sheetData>
  <conditionalFormatting sqref="A5:I14 A16:I21 A15:E15 I15 A23:I28 A22:E22 I22">
    <cfRule type="expression" dxfId="61" priority="8">
      <formula>AND($E5&lt;TODAY(),$H5&lt;&gt;"PAGO")</formula>
    </cfRule>
    <cfRule type="expression" dxfId="60" priority="9">
      <formula>$H5="pago"</formula>
    </cfRule>
  </conditionalFormatting>
  <conditionalFormatting sqref="A7:I7 H8:H14 H16:H21 H23:H28">
    <cfRule type="expression" dxfId="59" priority="10">
      <formula>$H7="pago"</formula>
    </cfRule>
  </conditionalFormatting>
  <conditionalFormatting sqref="I8:I11">
    <cfRule type="expression" dxfId="58" priority="7">
      <formula>$H8="pago"</formula>
    </cfRule>
  </conditionalFormatting>
  <conditionalFormatting sqref="F15:H15">
    <cfRule type="expression" dxfId="57" priority="4">
      <formula>AND($E15&lt;TODAY(),$H15&lt;&gt;"PAGO")</formula>
    </cfRule>
    <cfRule type="expression" dxfId="56" priority="5">
      <formula>$H15="pago"</formula>
    </cfRule>
  </conditionalFormatting>
  <conditionalFormatting sqref="H15">
    <cfRule type="expression" dxfId="55" priority="6">
      <formula>$H15="pago"</formula>
    </cfRule>
  </conditionalFormatting>
  <conditionalFormatting sqref="F22:H22">
    <cfRule type="expression" dxfId="54" priority="1">
      <formula>AND($E22&lt;TODAY(),$H22&lt;&gt;"PAGO")</formula>
    </cfRule>
    <cfRule type="expression" dxfId="53" priority="2">
      <formula>$H22="pago"</formula>
    </cfRule>
  </conditionalFormatting>
  <conditionalFormatting sqref="H22">
    <cfRule type="expression" dxfId="52" priority="3">
      <formula>$H22="pago"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4DEA9-3BF2-4DBB-9F4C-D81A5C806BF1}">
  <dimension ref="A1:I39"/>
  <sheetViews>
    <sheetView zoomScale="90" zoomScaleNormal="90" workbookViewId="0">
      <selection activeCell="B27" sqref="B27"/>
    </sheetView>
  </sheetViews>
  <sheetFormatPr defaultRowHeight="13.9"/>
  <cols>
    <col min="1" max="1" width="35" customWidth="1"/>
    <col min="2" max="2" width="21" customWidth="1"/>
    <col min="3" max="3" width="17.7109375" customWidth="1"/>
    <col min="4" max="4" width="15.85546875" customWidth="1"/>
    <col min="5" max="5" width="18" customWidth="1"/>
    <col min="6" max="6" width="22" customWidth="1"/>
    <col min="7" max="7" width="25.7109375" customWidth="1"/>
    <col min="8" max="8" width="10.85546875" customWidth="1"/>
    <col min="9" max="9" width="33.140625" customWidth="1"/>
  </cols>
  <sheetData>
    <row r="1" spans="1:9" s="77" customFormat="1" ht="45.6">
      <c r="A1" s="56" t="s">
        <v>90</v>
      </c>
      <c r="B1" s="75"/>
      <c r="C1" s="32" t="s">
        <v>1</v>
      </c>
      <c r="D1" s="2" t="s">
        <v>2</v>
      </c>
      <c r="E1" s="3" t="s">
        <v>3</v>
      </c>
      <c r="F1" s="76" t="s">
        <v>4</v>
      </c>
      <c r="G1" s="5" t="s">
        <v>5</v>
      </c>
      <c r="H1" s="75"/>
      <c r="I1" s="75"/>
    </row>
    <row r="2" spans="1:9" ht="22.9">
      <c r="A2" s="6" t="s">
        <v>74</v>
      </c>
      <c r="B2" s="1"/>
      <c r="C2" s="32">
        <f>SUM(C5:C43)</f>
        <v>21832.449999999997</v>
      </c>
      <c r="D2" s="41">
        <f>SUM(C5:C13,C14:C26)</f>
        <v>19046.789999999997</v>
      </c>
      <c r="E2" s="40">
        <f>SUM(C5:C10,C12:C13,C15,C17:C20,C24:C25,C27:C33)</f>
        <v>17127.089999999997</v>
      </c>
      <c r="F2" s="69"/>
      <c r="G2" s="42">
        <f>SUM(C11,C16,C21:C23,C26)</f>
        <v>4705.3600000000006</v>
      </c>
      <c r="H2" s="1"/>
      <c r="I2" s="8">
        <v>46077</v>
      </c>
    </row>
    <row r="3" spans="1:9">
      <c r="A3" s="1"/>
      <c r="B3" s="1"/>
      <c r="C3" s="33"/>
      <c r="D3" s="1"/>
      <c r="E3" s="1"/>
      <c r="F3" s="1"/>
      <c r="G3" s="1"/>
      <c r="H3" s="1"/>
      <c r="I3" s="1"/>
    </row>
    <row r="4" spans="1:9">
      <c r="A4" s="82" t="s">
        <v>6</v>
      </c>
      <c r="B4" s="83" t="s">
        <v>7</v>
      </c>
      <c r="C4" s="84" t="s">
        <v>8</v>
      </c>
      <c r="D4" s="83" t="s">
        <v>9</v>
      </c>
      <c r="E4" s="83" t="s">
        <v>10</v>
      </c>
      <c r="F4" s="85" t="s">
        <v>11</v>
      </c>
      <c r="G4" s="85" t="s">
        <v>12</v>
      </c>
      <c r="H4" s="83" t="s">
        <v>13</v>
      </c>
      <c r="I4" s="86" t="s">
        <v>14</v>
      </c>
    </row>
    <row r="5" spans="1:9">
      <c r="A5" s="27" t="s">
        <v>15</v>
      </c>
      <c r="B5" s="27" t="s">
        <v>16</v>
      </c>
      <c r="C5" s="35">
        <v>1900</v>
      </c>
      <c r="D5" s="27" t="s">
        <v>17</v>
      </c>
      <c r="E5" s="28">
        <v>46088</v>
      </c>
      <c r="F5" s="29">
        <v>46094</v>
      </c>
      <c r="G5" s="30" t="s">
        <v>18</v>
      </c>
      <c r="H5" s="30" t="s">
        <v>19</v>
      </c>
      <c r="I5" s="30"/>
    </row>
    <row r="6" spans="1:9">
      <c r="A6" s="27" t="s">
        <v>20</v>
      </c>
      <c r="B6" s="27" t="s">
        <v>21</v>
      </c>
      <c r="C6" s="35">
        <v>1250</v>
      </c>
      <c r="D6" s="27" t="s">
        <v>22</v>
      </c>
      <c r="E6" s="28">
        <v>46088</v>
      </c>
      <c r="F6" s="29">
        <v>46091</v>
      </c>
      <c r="G6" s="30" t="s">
        <v>18</v>
      </c>
      <c r="H6" s="30" t="s">
        <v>19</v>
      </c>
      <c r="I6" s="30"/>
    </row>
    <row r="7" spans="1:9">
      <c r="A7" s="17" t="s">
        <v>23</v>
      </c>
      <c r="B7" s="17" t="s">
        <v>24</v>
      </c>
      <c r="C7" s="31">
        <v>1377.9</v>
      </c>
      <c r="D7" s="17" t="s">
        <v>22</v>
      </c>
      <c r="E7" s="16">
        <v>46091</v>
      </c>
      <c r="F7" s="16">
        <v>46111</v>
      </c>
      <c r="G7" s="30" t="s">
        <v>18</v>
      </c>
      <c r="H7" s="17" t="s">
        <v>19</v>
      </c>
      <c r="I7" s="17"/>
    </row>
    <row r="8" spans="1:9">
      <c r="A8" s="18" t="s">
        <v>26</v>
      </c>
      <c r="B8" s="18" t="s">
        <v>24</v>
      </c>
      <c r="C8" s="36">
        <v>1377.9</v>
      </c>
      <c r="D8" s="18" t="s">
        <v>17</v>
      </c>
      <c r="E8" s="15">
        <v>46091</v>
      </c>
      <c r="F8" s="97">
        <v>46111</v>
      </c>
      <c r="G8" s="30" t="s">
        <v>18</v>
      </c>
      <c r="H8" s="17" t="s">
        <v>19</v>
      </c>
      <c r="I8" s="36"/>
    </row>
    <row r="9" spans="1:9">
      <c r="A9" s="18" t="s">
        <v>28</v>
      </c>
      <c r="B9" s="18" t="s">
        <v>24</v>
      </c>
      <c r="C9" s="36">
        <v>476.69</v>
      </c>
      <c r="D9" s="18" t="s">
        <v>17</v>
      </c>
      <c r="E9" s="15">
        <v>46091</v>
      </c>
      <c r="F9" s="97">
        <v>46111</v>
      </c>
      <c r="G9" s="30" t="s">
        <v>18</v>
      </c>
      <c r="H9" s="17" t="s">
        <v>19</v>
      </c>
      <c r="I9" s="17"/>
    </row>
    <row r="10" spans="1:9">
      <c r="A10" s="18" t="s">
        <v>30</v>
      </c>
      <c r="B10" s="18" t="s">
        <v>24</v>
      </c>
      <c r="C10" s="36">
        <v>921.83</v>
      </c>
      <c r="D10" s="18" t="s">
        <v>17</v>
      </c>
      <c r="E10" s="15">
        <v>46091</v>
      </c>
      <c r="F10" s="97">
        <v>46111</v>
      </c>
      <c r="G10" s="30" t="s">
        <v>18</v>
      </c>
      <c r="H10" s="17" t="s">
        <v>19</v>
      </c>
      <c r="I10" s="17"/>
    </row>
    <row r="11" spans="1:9">
      <c r="A11" s="18" t="s">
        <v>32</v>
      </c>
      <c r="B11" s="18" t="s">
        <v>33</v>
      </c>
      <c r="C11" s="36"/>
      <c r="D11" s="18" t="s">
        <v>22</v>
      </c>
      <c r="E11" s="15">
        <v>46091</v>
      </c>
      <c r="F11" s="19"/>
      <c r="G11" s="14"/>
      <c r="H11" s="17"/>
      <c r="I11" s="17"/>
    </row>
    <row r="12" spans="1:9">
      <c r="A12" s="14" t="s">
        <v>35</v>
      </c>
      <c r="B12" s="14" t="s">
        <v>36</v>
      </c>
      <c r="C12" s="36">
        <v>400</v>
      </c>
      <c r="D12" s="14" t="s">
        <v>17</v>
      </c>
      <c r="E12" s="15">
        <v>46091</v>
      </c>
      <c r="F12" s="16">
        <v>46104</v>
      </c>
      <c r="G12" s="17" t="s">
        <v>18</v>
      </c>
      <c r="H12" s="17" t="s">
        <v>19</v>
      </c>
      <c r="I12" s="20"/>
    </row>
    <row r="13" spans="1:9">
      <c r="A13" s="14" t="s">
        <v>35</v>
      </c>
      <c r="B13" s="14" t="s">
        <v>36</v>
      </c>
      <c r="C13" s="36">
        <v>200</v>
      </c>
      <c r="D13" s="14" t="s">
        <v>17</v>
      </c>
      <c r="E13" s="15">
        <v>46091</v>
      </c>
      <c r="F13" s="16">
        <v>46104</v>
      </c>
      <c r="G13" s="17" t="s">
        <v>18</v>
      </c>
      <c r="H13" s="17" t="s">
        <v>19</v>
      </c>
      <c r="I13" s="20"/>
    </row>
    <row r="14" spans="1:9">
      <c r="A14" s="14" t="s">
        <v>42</v>
      </c>
      <c r="B14" s="17" t="s">
        <v>43</v>
      </c>
      <c r="C14" s="36"/>
      <c r="D14" s="14" t="s">
        <v>17</v>
      </c>
      <c r="E14" s="15">
        <v>46091</v>
      </c>
      <c r="F14" s="16">
        <v>46161</v>
      </c>
      <c r="G14" s="17" t="s">
        <v>18</v>
      </c>
      <c r="H14" s="17" t="s">
        <v>19</v>
      </c>
      <c r="I14" s="17"/>
    </row>
    <row r="15" spans="1:9">
      <c r="A15" s="18" t="s">
        <v>44</v>
      </c>
      <c r="B15" s="18" t="s">
        <v>45</v>
      </c>
      <c r="C15" s="36">
        <v>262.89999999999998</v>
      </c>
      <c r="D15" s="18" t="s">
        <v>22</v>
      </c>
      <c r="E15" s="15">
        <v>46093</v>
      </c>
      <c r="F15" s="67">
        <v>46094</v>
      </c>
      <c r="G15" s="20" t="s">
        <v>18</v>
      </c>
      <c r="H15" s="17" t="s">
        <v>19</v>
      </c>
      <c r="I15" s="17"/>
    </row>
    <row r="16" spans="1:9">
      <c r="A16" s="17" t="s">
        <v>46</v>
      </c>
      <c r="B16" s="17" t="s">
        <v>21</v>
      </c>
      <c r="C16" s="36">
        <v>35</v>
      </c>
      <c r="D16" s="17" t="s">
        <v>22</v>
      </c>
      <c r="E16" s="15">
        <v>46097</v>
      </c>
      <c r="F16" s="16">
        <v>46153</v>
      </c>
      <c r="G16" s="17" t="s">
        <v>18</v>
      </c>
      <c r="H16" s="17" t="s">
        <v>19</v>
      </c>
      <c r="I16" s="20"/>
    </row>
    <row r="17" spans="1:9">
      <c r="A17" s="17" t="s">
        <v>47</v>
      </c>
      <c r="B17" s="17" t="s">
        <v>43</v>
      </c>
      <c r="C17" s="36">
        <v>675</v>
      </c>
      <c r="D17" s="17" t="s">
        <v>22</v>
      </c>
      <c r="E17" s="15">
        <v>46101</v>
      </c>
      <c r="F17" s="16">
        <v>46111</v>
      </c>
      <c r="G17" s="20" t="s">
        <v>18</v>
      </c>
      <c r="H17" s="17" t="s">
        <v>19</v>
      </c>
      <c r="I17" s="17"/>
    </row>
    <row r="18" spans="1:9">
      <c r="A18" s="14" t="s">
        <v>48</v>
      </c>
      <c r="B18" s="14" t="s">
        <v>21</v>
      </c>
      <c r="C18" s="36">
        <v>1250</v>
      </c>
      <c r="D18" s="14" t="s">
        <v>17</v>
      </c>
      <c r="E18" s="15">
        <v>46103</v>
      </c>
      <c r="F18" s="16">
        <v>46104</v>
      </c>
      <c r="G18" s="20" t="s">
        <v>18</v>
      </c>
      <c r="H18" s="17" t="s">
        <v>19</v>
      </c>
      <c r="I18" s="17"/>
    </row>
    <row r="19" spans="1:9">
      <c r="A19" s="14" t="s">
        <v>49</v>
      </c>
      <c r="B19" s="14" t="s">
        <v>16</v>
      </c>
      <c r="C19" s="36">
        <v>1900</v>
      </c>
      <c r="D19" s="14" t="s">
        <v>17</v>
      </c>
      <c r="E19" s="15">
        <v>46103</v>
      </c>
      <c r="F19" s="16">
        <v>46104</v>
      </c>
      <c r="G19" s="20" t="s">
        <v>18</v>
      </c>
      <c r="H19" s="17" t="s">
        <v>19</v>
      </c>
      <c r="I19" s="17"/>
    </row>
    <row r="20" spans="1:9">
      <c r="A20" s="14" t="s">
        <v>50</v>
      </c>
      <c r="B20" s="14" t="s">
        <v>21</v>
      </c>
      <c r="C20" s="36">
        <v>149.21</v>
      </c>
      <c r="D20" s="14" t="s">
        <v>17</v>
      </c>
      <c r="E20" s="15">
        <v>46106</v>
      </c>
      <c r="F20" s="16">
        <v>46106</v>
      </c>
      <c r="G20" s="17" t="s">
        <v>18</v>
      </c>
      <c r="H20" s="17" t="s">
        <v>19</v>
      </c>
      <c r="I20" s="17" t="s">
        <v>91</v>
      </c>
    </row>
    <row r="21" spans="1:9">
      <c r="A21" s="17" t="s">
        <v>51</v>
      </c>
      <c r="B21" s="17" t="s">
        <v>43</v>
      </c>
      <c r="C21" s="36"/>
      <c r="D21" s="17" t="s">
        <v>17</v>
      </c>
      <c r="E21" s="57">
        <v>46107</v>
      </c>
      <c r="F21" s="16">
        <v>46161</v>
      </c>
      <c r="G21" s="17" t="s">
        <v>18</v>
      </c>
      <c r="H21" s="17" t="s">
        <v>19</v>
      </c>
      <c r="I21" s="17"/>
    </row>
    <row r="22" spans="1:9">
      <c r="A22" s="17" t="s">
        <v>53</v>
      </c>
      <c r="B22" s="17" t="s">
        <v>45</v>
      </c>
      <c r="C22" s="36">
        <v>2163.36</v>
      </c>
      <c r="D22" s="17" t="s">
        <v>17</v>
      </c>
      <c r="E22" s="57">
        <v>46141</v>
      </c>
      <c r="F22" s="54">
        <v>46154</v>
      </c>
      <c r="G22" s="14" t="s">
        <v>18</v>
      </c>
      <c r="H22" s="17" t="s">
        <v>19</v>
      </c>
      <c r="I22" s="17"/>
    </row>
    <row r="23" spans="1:9">
      <c r="A23" s="17" t="s">
        <v>55</v>
      </c>
      <c r="B23" s="17" t="s">
        <v>43</v>
      </c>
      <c r="C23" s="36">
        <v>507</v>
      </c>
      <c r="D23" s="17" t="s">
        <v>22</v>
      </c>
      <c r="E23" s="57">
        <v>46111</v>
      </c>
      <c r="F23" s="19"/>
      <c r="G23" s="14"/>
      <c r="H23" s="17"/>
      <c r="I23" s="17"/>
    </row>
    <row r="24" spans="1:9">
      <c r="A24" s="18" t="s">
        <v>59</v>
      </c>
      <c r="B24" s="18" t="s">
        <v>60</v>
      </c>
      <c r="C24" s="36">
        <v>1200</v>
      </c>
      <c r="D24" s="18" t="s">
        <v>17</v>
      </c>
      <c r="E24" s="58">
        <v>46111</v>
      </c>
      <c r="F24" s="19"/>
      <c r="G24" s="14"/>
      <c r="H24" s="17" t="s">
        <v>92</v>
      </c>
      <c r="I24" s="17"/>
    </row>
    <row r="25" spans="1:9">
      <c r="A25" s="22" t="s">
        <v>61</v>
      </c>
      <c r="B25" s="22" t="s">
        <v>62</v>
      </c>
      <c r="C25" s="38">
        <v>1000</v>
      </c>
      <c r="D25" s="22" t="s">
        <v>17</v>
      </c>
      <c r="E25" s="58">
        <v>46111</v>
      </c>
      <c r="F25" s="24"/>
      <c r="G25" s="25"/>
      <c r="H25" s="26" t="s">
        <v>92</v>
      </c>
      <c r="I25" s="26"/>
    </row>
    <row r="26" spans="1:9">
      <c r="A26" s="22" t="s">
        <v>63</v>
      </c>
      <c r="B26" s="22"/>
      <c r="C26" s="38">
        <v>2000</v>
      </c>
      <c r="D26" s="22" t="s">
        <v>22</v>
      </c>
      <c r="E26" s="58">
        <v>46111</v>
      </c>
      <c r="F26" s="26"/>
      <c r="G26" s="26"/>
      <c r="H26" s="26"/>
      <c r="I26" s="26"/>
    </row>
    <row r="27" spans="1:9" ht="27.6">
      <c r="A27" s="87" t="s">
        <v>93</v>
      </c>
      <c r="B27" s="88" t="s">
        <v>21</v>
      </c>
      <c r="C27" s="89">
        <v>25</v>
      </c>
      <c r="D27" s="88" t="s">
        <v>68</v>
      </c>
      <c r="E27" s="90"/>
      <c r="F27" s="91">
        <v>46088</v>
      </c>
      <c r="G27" s="92" t="s">
        <v>18</v>
      </c>
      <c r="H27" s="93" t="s">
        <v>19</v>
      </c>
      <c r="I27" s="93"/>
    </row>
    <row r="28" spans="1:9">
      <c r="A28" s="88" t="s">
        <v>94</v>
      </c>
      <c r="B28" s="88" t="s">
        <v>65</v>
      </c>
      <c r="C28" s="89">
        <v>100</v>
      </c>
      <c r="D28" s="88" t="s">
        <v>68</v>
      </c>
      <c r="E28" s="90"/>
      <c r="F28" s="91">
        <v>46088</v>
      </c>
      <c r="G28" s="92" t="s">
        <v>18</v>
      </c>
      <c r="H28" s="93" t="s">
        <v>19</v>
      </c>
      <c r="I28" s="93"/>
    </row>
    <row r="29" spans="1:9">
      <c r="A29" s="88" t="s">
        <v>32</v>
      </c>
      <c r="B29" s="88" t="s">
        <v>33</v>
      </c>
      <c r="C29" s="89">
        <v>1045.8</v>
      </c>
      <c r="D29" s="88" t="s">
        <v>68</v>
      </c>
      <c r="E29" s="90"/>
      <c r="F29" s="91">
        <v>46108</v>
      </c>
      <c r="G29" s="92" t="s">
        <v>18</v>
      </c>
      <c r="H29" s="93" t="s">
        <v>19</v>
      </c>
      <c r="I29" s="93"/>
    </row>
    <row r="30" spans="1:9">
      <c r="A30" s="88" t="s">
        <v>95</v>
      </c>
      <c r="B30" s="88" t="s">
        <v>96</v>
      </c>
      <c r="C30" s="89">
        <v>536.79999999999995</v>
      </c>
      <c r="D30" s="88"/>
      <c r="E30" s="90"/>
      <c r="F30" s="91">
        <v>46111</v>
      </c>
      <c r="G30" s="92" t="s">
        <v>18</v>
      </c>
      <c r="H30" s="93" t="s">
        <v>19</v>
      </c>
      <c r="I30" s="93"/>
    </row>
    <row r="31" spans="1:9">
      <c r="A31" s="88" t="s">
        <v>97</v>
      </c>
      <c r="B31" s="88" t="s">
        <v>65</v>
      </c>
      <c r="C31" s="89">
        <v>792</v>
      </c>
      <c r="D31" s="88" t="s">
        <v>68</v>
      </c>
      <c r="E31" s="90"/>
      <c r="F31" s="91">
        <v>46112</v>
      </c>
      <c r="G31" s="92" t="s">
        <v>18</v>
      </c>
      <c r="H31" s="93" t="s">
        <v>19</v>
      </c>
      <c r="I31" s="93"/>
    </row>
    <row r="32" spans="1:9">
      <c r="A32" s="88" t="s">
        <v>98</v>
      </c>
      <c r="B32" s="88" t="s">
        <v>21</v>
      </c>
      <c r="C32" s="89">
        <v>245.06</v>
      </c>
      <c r="D32" s="88" t="s">
        <v>68</v>
      </c>
      <c r="E32" s="90"/>
      <c r="F32" s="91">
        <v>46112</v>
      </c>
      <c r="G32" s="92" t="s">
        <v>18</v>
      </c>
      <c r="H32" s="93" t="s">
        <v>19</v>
      </c>
      <c r="I32" s="93"/>
    </row>
    <row r="33" spans="1:9">
      <c r="A33" s="88" t="s">
        <v>99</v>
      </c>
      <c r="B33" s="88" t="s">
        <v>21</v>
      </c>
      <c r="C33" s="89">
        <v>41</v>
      </c>
      <c r="D33" s="88" t="s">
        <v>17</v>
      </c>
      <c r="E33" s="90"/>
      <c r="F33" s="91">
        <v>46112</v>
      </c>
      <c r="G33" s="92" t="s">
        <v>18</v>
      </c>
      <c r="H33" s="93" t="s">
        <v>19</v>
      </c>
      <c r="I33" s="93"/>
    </row>
    <row r="34" spans="1:9">
      <c r="A34" s="78"/>
      <c r="B34" s="79"/>
      <c r="C34" s="80"/>
      <c r="D34" s="79"/>
      <c r="E34" s="81"/>
      <c r="F34" s="81"/>
      <c r="G34" s="79"/>
      <c r="H34" s="79"/>
      <c r="I34" s="79"/>
    </row>
    <row r="35" spans="1:9">
      <c r="A35" s="78"/>
      <c r="B35" s="79"/>
      <c r="C35" s="80"/>
      <c r="D35" s="79"/>
      <c r="E35" s="81"/>
      <c r="F35" s="81"/>
      <c r="G35" s="79"/>
      <c r="H35" s="79"/>
      <c r="I35" s="79"/>
    </row>
    <row r="36" spans="1:9">
      <c r="A36" s="78"/>
      <c r="B36" s="79"/>
      <c r="C36" s="80"/>
      <c r="D36" s="79"/>
      <c r="E36" s="81"/>
      <c r="F36" s="81"/>
      <c r="G36" s="79"/>
      <c r="H36" s="79"/>
      <c r="I36" s="79"/>
    </row>
    <row r="37" spans="1:9">
      <c r="A37" s="1"/>
      <c r="B37" s="1"/>
      <c r="C37" s="33"/>
      <c r="D37" s="1"/>
      <c r="E37" s="1"/>
      <c r="F37" s="1"/>
      <c r="G37" s="1"/>
      <c r="H37" s="1"/>
      <c r="I37" s="1"/>
    </row>
    <row r="38" spans="1:9">
      <c r="A38" s="1"/>
      <c r="B38" s="33"/>
      <c r="C38" s="1"/>
      <c r="D38" s="1"/>
      <c r="E38" s="1"/>
      <c r="F38" s="1"/>
      <c r="G38" s="1"/>
      <c r="H38" s="1"/>
    </row>
    <row r="39" spans="1:9">
      <c r="A39" s="99"/>
    </row>
  </sheetData>
  <conditionalFormatting sqref="A5:I21 A23:I26 A22:B22 I22">
    <cfRule type="expression" dxfId="51" priority="9">
      <formula>AND($E5&lt;TODAY(),$H5&lt;&gt;"PAGO")</formula>
    </cfRule>
    <cfRule type="expression" dxfId="50" priority="10">
      <formula>$H5="pago"</formula>
    </cfRule>
  </conditionalFormatting>
  <conditionalFormatting sqref="A7:I7 H8:H21 H23:H26">
    <cfRule type="expression" dxfId="49" priority="11">
      <formula>$H7="pago"</formula>
    </cfRule>
  </conditionalFormatting>
  <conditionalFormatting sqref="A29">
    <cfRule type="expression" dxfId="48" priority="7">
      <formula>AND($E29&lt;TODAY(),$H29&lt;&gt;"PAGO")</formula>
    </cfRule>
    <cfRule type="expression" dxfId="47" priority="8">
      <formula>$H29="pago"</formula>
    </cfRule>
  </conditionalFormatting>
  <conditionalFormatting sqref="F8:F10">
    <cfRule type="expression" dxfId="46" priority="6">
      <formula>$H8="pago"</formula>
    </cfRule>
  </conditionalFormatting>
  <conditionalFormatting sqref="F8:F10">
    <cfRule type="expression" dxfId="45" priority="5">
      <formula>$H8="pago"</formula>
    </cfRule>
  </conditionalFormatting>
  <conditionalFormatting sqref="F8:F10">
    <cfRule type="expression" dxfId="44" priority="4">
      <formula>$H8="pago"</formula>
    </cfRule>
  </conditionalFormatting>
  <conditionalFormatting sqref="C22:H22">
    <cfRule type="expression" dxfId="43" priority="1">
      <formula>AND($E22&lt;TODAY(),$H22&lt;&gt;"PAGO")</formula>
    </cfRule>
    <cfRule type="expression" dxfId="42" priority="2">
      <formula>$H22="pago"</formula>
    </cfRule>
  </conditionalFormatting>
  <conditionalFormatting sqref="H22">
    <cfRule type="expression" dxfId="41" priority="3">
      <formula>$H22="pago"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20C17-D1F2-42A3-BC08-FB2D2574D149}">
  <dimension ref="A1:I53"/>
  <sheetViews>
    <sheetView topLeftCell="A25" zoomScale="85" zoomScaleNormal="85" workbookViewId="0">
      <selection activeCell="F2" sqref="F2"/>
    </sheetView>
  </sheetViews>
  <sheetFormatPr defaultRowHeight="13.9"/>
  <cols>
    <col min="1" max="1" width="39" customWidth="1"/>
    <col min="2" max="2" width="33.42578125" customWidth="1"/>
    <col min="3" max="3" width="17.5703125" customWidth="1"/>
    <col min="4" max="4" width="18.140625" customWidth="1"/>
    <col min="5" max="5" width="14.85546875" customWidth="1"/>
    <col min="6" max="6" width="20.85546875" customWidth="1"/>
    <col min="7" max="7" width="22" customWidth="1"/>
    <col min="8" max="8" width="12.28515625" customWidth="1"/>
    <col min="9" max="9" width="24.7109375" customWidth="1"/>
  </cols>
  <sheetData>
    <row r="1" spans="1:9" ht="45.6">
      <c r="A1" s="56" t="s">
        <v>100</v>
      </c>
      <c r="B1" s="75"/>
      <c r="C1" s="32" t="s">
        <v>1</v>
      </c>
      <c r="D1" s="2" t="s">
        <v>2</v>
      </c>
      <c r="E1" s="3" t="s">
        <v>3</v>
      </c>
      <c r="F1" s="76" t="s">
        <v>4</v>
      </c>
      <c r="G1" s="5" t="s">
        <v>5</v>
      </c>
      <c r="H1" s="75"/>
      <c r="I1" s="75"/>
    </row>
    <row r="2" spans="1:9" ht="21.75">
      <c r="A2" s="6" t="s">
        <v>74</v>
      </c>
      <c r="B2" s="1"/>
      <c r="C2" s="32">
        <f>SUM(C5:C44)</f>
        <v>62326.27</v>
      </c>
      <c r="D2" s="41">
        <f>SUM(C5:C27)</f>
        <v>19158.629999999997</v>
      </c>
      <c r="E2" s="40">
        <f>SUM(C5:C6,C9:C10,C13,C15:C18,C18:C22,C28:C44,C25:C26)</f>
        <v>57733.96</v>
      </c>
      <c r="F2" s="69"/>
      <c r="G2" s="42">
        <f>SUM(C7:C8,C11:C12,C27,C23:C24)</f>
        <v>5842.31</v>
      </c>
      <c r="H2" s="1"/>
      <c r="I2" s="8">
        <v>46141</v>
      </c>
    </row>
    <row r="3" spans="1:9">
      <c r="A3" s="1"/>
      <c r="B3" s="1"/>
      <c r="C3" s="33"/>
      <c r="D3" s="1"/>
      <c r="E3" s="1"/>
      <c r="F3" s="1"/>
      <c r="G3" s="1"/>
      <c r="H3" s="1"/>
      <c r="I3" s="1"/>
    </row>
    <row r="4" spans="1:9" ht="55.15">
      <c r="A4" s="82" t="s">
        <v>6</v>
      </c>
      <c r="B4" s="83" t="s">
        <v>7</v>
      </c>
      <c r="C4" s="84" t="s">
        <v>8</v>
      </c>
      <c r="D4" s="83" t="s">
        <v>9</v>
      </c>
      <c r="E4" s="83" t="s">
        <v>10</v>
      </c>
      <c r="F4" s="85" t="s">
        <v>11</v>
      </c>
      <c r="G4" s="85" t="s">
        <v>12</v>
      </c>
      <c r="H4" s="83" t="s">
        <v>13</v>
      </c>
      <c r="I4" s="86" t="s">
        <v>14</v>
      </c>
    </row>
    <row r="5" spans="1:9">
      <c r="A5" s="27" t="s">
        <v>15</v>
      </c>
      <c r="B5" s="27" t="s">
        <v>16</v>
      </c>
      <c r="C5" s="35">
        <v>1900</v>
      </c>
      <c r="D5" s="27" t="s">
        <v>17</v>
      </c>
      <c r="E5" s="28">
        <v>46119</v>
      </c>
      <c r="F5" s="29">
        <v>46119</v>
      </c>
      <c r="G5" s="30" t="s">
        <v>18</v>
      </c>
      <c r="H5" s="30" t="s">
        <v>19</v>
      </c>
      <c r="I5" s="30"/>
    </row>
    <row r="6" spans="1:9">
      <c r="A6" s="27" t="s">
        <v>20</v>
      </c>
      <c r="B6" s="27" t="s">
        <v>21</v>
      </c>
      <c r="C6" s="35">
        <v>1250</v>
      </c>
      <c r="D6" s="27" t="s">
        <v>22</v>
      </c>
      <c r="E6" s="28">
        <v>46119</v>
      </c>
      <c r="F6" s="29">
        <v>46119</v>
      </c>
      <c r="G6" s="30" t="s">
        <v>18</v>
      </c>
      <c r="H6" s="30" t="s">
        <v>19</v>
      </c>
      <c r="I6" s="30"/>
    </row>
    <row r="7" spans="1:9">
      <c r="A7" s="17" t="s">
        <v>23</v>
      </c>
      <c r="B7" s="17" t="s">
        <v>24</v>
      </c>
      <c r="C7" s="31">
        <v>1377.9</v>
      </c>
      <c r="D7" s="17" t="s">
        <v>22</v>
      </c>
      <c r="E7" s="16">
        <v>46122</v>
      </c>
      <c r="F7" s="16"/>
      <c r="G7" s="30"/>
      <c r="H7" s="17"/>
      <c r="I7" s="17"/>
    </row>
    <row r="8" spans="1:9">
      <c r="A8" s="18" t="s">
        <v>26</v>
      </c>
      <c r="B8" s="18" t="s">
        <v>24</v>
      </c>
      <c r="C8" s="36">
        <v>1377.9</v>
      </c>
      <c r="D8" s="18" t="s">
        <v>17</v>
      </c>
      <c r="E8" s="15">
        <v>46122</v>
      </c>
      <c r="F8" s="97"/>
      <c r="G8" s="30"/>
      <c r="H8" s="17"/>
      <c r="I8" s="36"/>
    </row>
    <row r="9" spans="1:9" ht="29.25">
      <c r="A9" s="18" t="s">
        <v>28</v>
      </c>
      <c r="B9" s="18" t="s">
        <v>24</v>
      </c>
      <c r="C9" s="36">
        <v>476.69</v>
      </c>
      <c r="D9" s="18" t="s">
        <v>17</v>
      </c>
      <c r="E9" s="15">
        <v>46122</v>
      </c>
      <c r="F9" s="97"/>
      <c r="G9" s="30"/>
      <c r="H9" s="17" t="s">
        <v>19</v>
      </c>
      <c r="I9" s="20" t="s">
        <v>101</v>
      </c>
    </row>
    <row r="10" spans="1:9" ht="29.25">
      <c r="A10" s="18" t="s">
        <v>30</v>
      </c>
      <c r="B10" s="18" t="s">
        <v>24</v>
      </c>
      <c r="C10" s="36">
        <v>921.83</v>
      </c>
      <c r="D10" s="18" t="s">
        <v>17</v>
      </c>
      <c r="E10" s="15">
        <v>46122</v>
      </c>
      <c r="F10" s="97"/>
      <c r="G10" s="30"/>
      <c r="H10" s="17" t="s">
        <v>19</v>
      </c>
      <c r="I10" s="20" t="s">
        <v>102</v>
      </c>
    </row>
    <row r="11" spans="1:9">
      <c r="A11" s="18" t="s">
        <v>32</v>
      </c>
      <c r="B11" s="18" t="s">
        <v>33</v>
      </c>
      <c r="C11" s="36"/>
      <c r="D11" s="18" t="s">
        <v>22</v>
      </c>
      <c r="E11" s="15">
        <v>46122</v>
      </c>
      <c r="F11" s="112"/>
      <c r="G11" s="14"/>
      <c r="H11" s="17"/>
      <c r="I11" s="17"/>
    </row>
    <row r="12" spans="1:9">
      <c r="A12" s="14" t="s">
        <v>35</v>
      </c>
      <c r="B12" s="14" t="s">
        <v>36</v>
      </c>
      <c r="C12" s="36">
        <v>400</v>
      </c>
      <c r="D12" s="14" t="s">
        <v>17</v>
      </c>
      <c r="E12" s="15">
        <v>46122</v>
      </c>
      <c r="F12" s="16"/>
      <c r="G12" s="17"/>
      <c r="H12" s="17"/>
      <c r="I12" s="20"/>
    </row>
    <row r="13" spans="1:9">
      <c r="A13" s="14" t="s">
        <v>35</v>
      </c>
      <c r="B13" s="14" t="s">
        <v>36</v>
      </c>
      <c r="C13" s="36">
        <v>206</v>
      </c>
      <c r="D13" s="14" t="s">
        <v>17</v>
      </c>
      <c r="E13" s="15">
        <v>46122</v>
      </c>
      <c r="F13" s="16">
        <v>46125</v>
      </c>
      <c r="G13" s="17" t="s">
        <v>18</v>
      </c>
      <c r="H13" s="17" t="s">
        <v>19</v>
      </c>
      <c r="I13" s="20"/>
    </row>
    <row r="14" spans="1:9">
      <c r="A14" s="14" t="s">
        <v>42</v>
      </c>
      <c r="B14" s="17" t="s">
        <v>43</v>
      </c>
      <c r="C14" s="36"/>
      <c r="D14" s="14" t="s">
        <v>17</v>
      </c>
      <c r="E14" s="15">
        <v>46122</v>
      </c>
      <c r="F14" s="16">
        <v>46169</v>
      </c>
      <c r="G14" s="17" t="s">
        <v>18</v>
      </c>
      <c r="H14" s="17" t="s">
        <v>19</v>
      </c>
      <c r="I14" s="17"/>
    </row>
    <row r="15" spans="1:9">
      <c r="A15" s="18" t="s">
        <v>44</v>
      </c>
      <c r="B15" s="18" t="s">
        <v>45</v>
      </c>
      <c r="C15" s="36">
        <v>262.89999999999998</v>
      </c>
      <c r="D15" s="18" t="s">
        <v>22</v>
      </c>
      <c r="E15" s="15">
        <v>46124</v>
      </c>
      <c r="F15" s="67">
        <v>46125</v>
      </c>
      <c r="G15" s="20" t="s">
        <v>18</v>
      </c>
      <c r="H15" s="17" t="s">
        <v>19</v>
      </c>
      <c r="I15" s="17"/>
    </row>
    <row r="16" spans="1:9">
      <c r="A16" s="17" t="s">
        <v>46</v>
      </c>
      <c r="B16" s="17" t="s">
        <v>21</v>
      </c>
      <c r="C16" s="36">
        <v>35</v>
      </c>
      <c r="D16" s="17" t="s">
        <v>22</v>
      </c>
      <c r="E16" s="15">
        <v>46128</v>
      </c>
      <c r="F16" s="16">
        <v>46153</v>
      </c>
      <c r="G16" s="17" t="s">
        <v>18</v>
      </c>
      <c r="H16" s="17" t="s">
        <v>19</v>
      </c>
      <c r="I16" s="20"/>
    </row>
    <row r="17" spans="1:9" ht="15">
      <c r="A17" s="17" t="s">
        <v>47</v>
      </c>
      <c r="B17" s="17" t="s">
        <v>43</v>
      </c>
      <c r="C17" s="36">
        <v>675</v>
      </c>
      <c r="D17" s="17" t="s">
        <v>22</v>
      </c>
      <c r="E17" s="15">
        <v>46132</v>
      </c>
      <c r="F17" s="16">
        <v>46134</v>
      </c>
      <c r="G17" s="20" t="s">
        <v>18</v>
      </c>
      <c r="H17" s="17" t="s">
        <v>19</v>
      </c>
      <c r="I17" s="17"/>
    </row>
    <row r="18" spans="1:9">
      <c r="A18" s="14" t="s">
        <v>48</v>
      </c>
      <c r="B18" s="14" t="s">
        <v>21</v>
      </c>
      <c r="C18" s="36">
        <v>1250</v>
      </c>
      <c r="D18" s="14" t="s">
        <v>17</v>
      </c>
      <c r="E18" s="15">
        <v>46134</v>
      </c>
      <c r="F18" s="16">
        <v>46134</v>
      </c>
      <c r="G18" s="20" t="s">
        <v>18</v>
      </c>
      <c r="H18" s="17" t="s">
        <v>19</v>
      </c>
      <c r="I18" s="17"/>
    </row>
    <row r="19" spans="1:9">
      <c r="A19" s="14" t="s">
        <v>49</v>
      </c>
      <c r="B19" s="14" t="s">
        <v>16</v>
      </c>
      <c r="C19" s="36">
        <v>1900</v>
      </c>
      <c r="D19" s="14" t="s">
        <v>17</v>
      </c>
      <c r="E19" s="15">
        <v>46134</v>
      </c>
      <c r="F19" s="16">
        <v>46134</v>
      </c>
      <c r="G19" s="20" t="s">
        <v>18</v>
      </c>
      <c r="H19" s="17" t="s">
        <v>19</v>
      </c>
      <c r="I19" s="17"/>
    </row>
    <row r="20" spans="1:9">
      <c r="A20" s="14" t="s">
        <v>50</v>
      </c>
      <c r="B20" s="14" t="s">
        <v>21</v>
      </c>
      <c r="C20" s="36">
        <v>149.21</v>
      </c>
      <c r="D20" s="14" t="s">
        <v>17</v>
      </c>
      <c r="E20" s="15">
        <v>46137</v>
      </c>
      <c r="F20" s="16">
        <v>46160</v>
      </c>
      <c r="G20" s="17" t="s">
        <v>18</v>
      </c>
      <c r="H20" s="17" t="s">
        <v>19</v>
      </c>
      <c r="I20" s="17"/>
    </row>
    <row r="21" spans="1:9">
      <c r="A21" s="17" t="s">
        <v>51</v>
      </c>
      <c r="B21" s="17" t="s">
        <v>43</v>
      </c>
      <c r="C21" s="36"/>
      <c r="D21" s="17" t="s">
        <v>17</v>
      </c>
      <c r="E21" s="57">
        <v>46138</v>
      </c>
      <c r="F21" s="16">
        <v>46169</v>
      </c>
      <c r="G21" s="17" t="s">
        <v>18</v>
      </c>
      <c r="H21" s="17" t="s">
        <v>19</v>
      </c>
      <c r="I21" s="17"/>
    </row>
    <row r="22" spans="1:9">
      <c r="A22" s="17" t="s">
        <v>53</v>
      </c>
      <c r="B22" s="17" t="s">
        <v>45</v>
      </c>
      <c r="C22" s="36">
        <v>2089.69</v>
      </c>
      <c r="D22" s="126" t="s">
        <v>17</v>
      </c>
      <c r="E22" s="57">
        <v>46171</v>
      </c>
      <c r="F22" s="54">
        <v>46164</v>
      </c>
      <c r="G22" s="14" t="s">
        <v>18</v>
      </c>
      <c r="H22" s="126" t="s">
        <v>19</v>
      </c>
      <c r="I22" s="17"/>
    </row>
    <row r="23" spans="1:9">
      <c r="A23" s="17" t="s">
        <v>55</v>
      </c>
      <c r="B23" s="17" t="s">
        <v>43</v>
      </c>
      <c r="C23" s="36">
        <v>507</v>
      </c>
      <c r="D23" s="17" t="s">
        <v>22</v>
      </c>
      <c r="E23" s="57">
        <v>46142</v>
      </c>
      <c r="F23" s="19"/>
      <c r="G23" s="14"/>
      <c r="H23" s="17"/>
      <c r="I23" s="17"/>
    </row>
    <row r="24" spans="1:9">
      <c r="A24" s="22" t="s">
        <v>56</v>
      </c>
      <c r="B24" s="22" t="s">
        <v>57</v>
      </c>
      <c r="C24" s="38">
        <v>179.51</v>
      </c>
      <c r="D24" s="22" t="s">
        <v>22</v>
      </c>
      <c r="E24" s="58">
        <v>46142</v>
      </c>
      <c r="F24" s="24"/>
      <c r="G24" s="25"/>
      <c r="H24" s="17"/>
      <c r="I24" s="26"/>
    </row>
    <row r="25" spans="1:9">
      <c r="A25" s="18" t="s">
        <v>59</v>
      </c>
      <c r="B25" s="18" t="s">
        <v>60</v>
      </c>
      <c r="C25" s="36">
        <v>1200</v>
      </c>
      <c r="D25" s="18" t="s">
        <v>17</v>
      </c>
      <c r="E25" s="58">
        <v>46142</v>
      </c>
      <c r="F25" s="19"/>
      <c r="G25" s="14"/>
      <c r="H25" s="17" t="s">
        <v>19</v>
      </c>
      <c r="I25" s="17"/>
    </row>
    <row r="26" spans="1:9">
      <c r="A26" s="22" t="s">
        <v>61</v>
      </c>
      <c r="B26" s="22" t="s">
        <v>62</v>
      </c>
      <c r="C26" s="38">
        <v>1000</v>
      </c>
      <c r="D26" s="22" t="s">
        <v>17</v>
      </c>
      <c r="E26" s="58">
        <v>46142</v>
      </c>
      <c r="F26" s="24"/>
      <c r="G26" s="25"/>
      <c r="H26" s="26" t="s">
        <v>19</v>
      </c>
      <c r="I26" s="26"/>
    </row>
    <row r="27" spans="1:9">
      <c r="A27" s="104" t="s">
        <v>63</v>
      </c>
      <c r="B27" s="104"/>
      <c r="C27" s="105">
        <v>2000</v>
      </c>
      <c r="D27" s="104" t="s">
        <v>22</v>
      </c>
      <c r="E27" s="106">
        <v>46142</v>
      </c>
      <c r="F27" s="107"/>
      <c r="G27" s="107"/>
      <c r="H27" s="107"/>
      <c r="I27" s="102"/>
    </row>
    <row r="28" spans="1:9">
      <c r="A28" s="108" t="s">
        <v>103</v>
      </c>
      <c r="B28" s="108" t="s">
        <v>104</v>
      </c>
      <c r="C28" s="109">
        <v>328.24</v>
      </c>
      <c r="D28" s="108" t="s">
        <v>68</v>
      </c>
      <c r="E28" s="100"/>
      <c r="F28" s="100">
        <v>46113</v>
      </c>
      <c r="G28" s="101" t="s">
        <v>18</v>
      </c>
      <c r="H28" s="101" t="s">
        <v>19</v>
      </c>
      <c r="I28" s="103"/>
    </row>
    <row r="29" spans="1:9">
      <c r="A29" s="108" t="s">
        <v>105</v>
      </c>
      <c r="B29" s="108" t="s">
        <v>21</v>
      </c>
      <c r="C29" s="109">
        <v>85</v>
      </c>
      <c r="D29" s="108" t="s">
        <v>68</v>
      </c>
      <c r="E29" s="100"/>
      <c r="F29" s="100">
        <v>46116</v>
      </c>
      <c r="G29" s="101" t="s">
        <v>18</v>
      </c>
      <c r="H29" s="101" t="s">
        <v>19</v>
      </c>
      <c r="I29" s="101"/>
    </row>
    <row r="30" spans="1:9">
      <c r="A30" s="110" t="s">
        <v>106</v>
      </c>
      <c r="B30" s="110" t="s">
        <v>45</v>
      </c>
      <c r="C30" s="111">
        <v>50</v>
      </c>
      <c r="D30" s="110" t="s">
        <v>68</v>
      </c>
      <c r="E30" s="101"/>
      <c r="F30" s="100">
        <v>46116</v>
      </c>
      <c r="G30" s="101" t="s">
        <v>18</v>
      </c>
      <c r="H30" s="101" t="s">
        <v>19</v>
      </c>
      <c r="I30" s="101"/>
    </row>
    <row r="31" spans="1:9">
      <c r="A31" s="113" t="s">
        <v>107</v>
      </c>
      <c r="B31" s="113" t="s">
        <v>108</v>
      </c>
      <c r="C31" s="114">
        <v>295.39</v>
      </c>
      <c r="D31" s="115" t="s">
        <v>68</v>
      </c>
      <c r="E31" s="101"/>
      <c r="F31" s="100">
        <v>46120</v>
      </c>
      <c r="G31" s="101" t="s">
        <v>109</v>
      </c>
      <c r="H31" s="101" t="s">
        <v>19</v>
      </c>
      <c r="I31" s="101"/>
    </row>
    <row r="32" spans="1:9">
      <c r="A32" s="110" t="s">
        <v>110</v>
      </c>
      <c r="B32" s="101" t="s">
        <v>111</v>
      </c>
      <c r="C32" s="111">
        <v>350</v>
      </c>
      <c r="D32" s="110" t="s">
        <v>68</v>
      </c>
      <c r="E32" s="101"/>
      <c r="F32" s="100">
        <v>46122</v>
      </c>
      <c r="G32" s="101" t="s">
        <v>112</v>
      </c>
      <c r="H32" s="101" t="s">
        <v>19</v>
      </c>
      <c r="I32" s="101"/>
    </row>
    <row r="33" spans="1:9">
      <c r="A33" s="110" t="s">
        <v>103</v>
      </c>
      <c r="B33" s="101" t="s">
        <v>104</v>
      </c>
      <c r="C33" s="111">
        <v>488.4</v>
      </c>
      <c r="D33" s="110" t="s">
        <v>68</v>
      </c>
      <c r="E33" s="101"/>
      <c r="F33" s="100">
        <v>46128</v>
      </c>
      <c r="G33" s="101" t="s">
        <v>18</v>
      </c>
      <c r="H33" s="101" t="s">
        <v>19</v>
      </c>
      <c r="I33" s="101"/>
    </row>
    <row r="34" spans="1:9">
      <c r="A34" s="110" t="s">
        <v>113</v>
      </c>
      <c r="B34" s="101" t="s">
        <v>21</v>
      </c>
      <c r="C34" s="111">
        <v>83</v>
      </c>
      <c r="D34" s="110" t="s">
        <v>68</v>
      </c>
      <c r="E34" s="100"/>
      <c r="F34" s="100">
        <v>46128</v>
      </c>
      <c r="G34" s="101" t="s">
        <v>18</v>
      </c>
      <c r="H34" s="101" t="s">
        <v>19</v>
      </c>
      <c r="I34" s="101"/>
    </row>
    <row r="35" spans="1:9">
      <c r="A35" s="110" t="s">
        <v>114</v>
      </c>
      <c r="B35" s="101" t="s">
        <v>21</v>
      </c>
      <c r="C35" s="111">
        <v>12.01</v>
      </c>
      <c r="D35" s="110" t="s">
        <v>68</v>
      </c>
      <c r="E35" s="101"/>
      <c r="F35" s="100">
        <v>46135</v>
      </c>
      <c r="G35" s="101" t="s">
        <v>18</v>
      </c>
      <c r="H35" s="101" t="s">
        <v>19</v>
      </c>
      <c r="I35" s="101"/>
    </row>
    <row r="36" spans="1:9">
      <c r="A36" s="110" t="s">
        <v>115</v>
      </c>
      <c r="B36" s="101" t="s">
        <v>45</v>
      </c>
      <c r="C36" s="111">
        <v>20</v>
      </c>
      <c r="D36" s="110" t="s">
        <v>68</v>
      </c>
      <c r="E36" s="101"/>
      <c r="F36" s="100">
        <v>46135</v>
      </c>
      <c r="G36" s="101" t="s">
        <v>18</v>
      </c>
      <c r="H36" s="101" t="s">
        <v>19</v>
      </c>
      <c r="I36" s="101"/>
    </row>
    <row r="37" spans="1:9">
      <c r="A37" s="110" t="s">
        <v>116</v>
      </c>
      <c r="B37" s="101" t="s">
        <v>117</v>
      </c>
      <c r="C37" s="111">
        <v>186</v>
      </c>
      <c r="D37" s="110" t="s">
        <v>68</v>
      </c>
      <c r="E37" s="101"/>
      <c r="F37" s="100">
        <v>46135</v>
      </c>
      <c r="G37" s="101" t="s">
        <v>18</v>
      </c>
      <c r="H37" s="101" t="s">
        <v>19</v>
      </c>
      <c r="I37" s="101"/>
    </row>
    <row r="38" spans="1:9">
      <c r="A38" s="110" t="s">
        <v>118</v>
      </c>
      <c r="B38" s="101" t="s">
        <v>119</v>
      </c>
      <c r="C38" s="111">
        <v>15000</v>
      </c>
      <c r="D38" s="110" t="s">
        <v>68</v>
      </c>
      <c r="E38" s="101"/>
      <c r="F38" s="100">
        <v>46141</v>
      </c>
      <c r="G38" s="101" t="s">
        <v>18</v>
      </c>
      <c r="H38" s="101" t="s">
        <v>19</v>
      </c>
      <c r="I38" s="101"/>
    </row>
    <row r="39" spans="1:9">
      <c r="A39" s="110" t="s">
        <v>120</v>
      </c>
      <c r="B39" s="101" t="s">
        <v>119</v>
      </c>
      <c r="C39" s="111">
        <v>750</v>
      </c>
      <c r="D39" s="110" t="s">
        <v>68</v>
      </c>
      <c r="E39" s="101"/>
      <c r="F39" s="100">
        <v>46141</v>
      </c>
      <c r="G39" s="101" t="s">
        <v>18</v>
      </c>
      <c r="H39" s="101" t="s">
        <v>19</v>
      </c>
      <c r="I39" s="101" t="s">
        <v>121</v>
      </c>
    </row>
    <row r="40" spans="1:9">
      <c r="A40" s="116" t="s">
        <v>122</v>
      </c>
      <c r="B40" s="117" t="s">
        <v>117</v>
      </c>
      <c r="C40" s="118">
        <v>423</v>
      </c>
      <c r="D40" s="116" t="s">
        <v>68</v>
      </c>
      <c r="E40" s="117"/>
      <c r="F40" s="119">
        <v>46141</v>
      </c>
      <c r="G40" s="117" t="s">
        <v>18</v>
      </c>
      <c r="H40" s="117" t="s">
        <v>19</v>
      </c>
      <c r="I40" s="117" t="s">
        <v>123</v>
      </c>
    </row>
    <row r="41" spans="1:9">
      <c r="A41" s="51" t="s">
        <v>67</v>
      </c>
      <c r="B41" s="51" t="s">
        <v>124</v>
      </c>
      <c r="C41" s="52">
        <v>183.6</v>
      </c>
      <c r="D41" s="51" t="s">
        <v>68</v>
      </c>
      <c r="E41" s="51"/>
      <c r="F41" s="53">
        <v>46140</v>
      </c>
      <c r="G41" s="51" t="s">
        <v>18</v>
      </c>
      <c r="H41" s="51" t="s">
        <v>19</v>
      </c>
      <c r="I41" s="51"/>
    </row>
    <row r="42" spans="1:9">
      <c r="A42" s="51" t="s">
        <v>125</v>
      </c>
      <c r="B42" s="51" t="s">
        <v>124</v>
      </c>
      <c r="C42" s="52">
        <v>413</v>
      </c>
      <c r="D42" s="51" t="s">
        <v>68</v>
      </c>
      <c r="E42" s="51"/>
      <c r="F42" s="53">
        <v>46136</v>
      </c>
      <c r="G42" s="51" t="s">
        <v>18</v>
      </c>
      <c r="H42" s="51" t="s">
        <v>19</v>
      </c>
      <c r="I42" s="51"/>
    </row>
    <row r="43" spans="1:9">
      <c r="A43" s="51" t="s">
        <v>126</v>
      </c>
      <c r="B43" s="51" t="s">
        <v>119</v>
      </c>
      <c r="C43" s="52">
        <v>24000</v>
      </c>
      <c r="D43" s="51" t="s">
        <v>68</v>
      </c>
      <c r="E43" s="51"/>
      <c r="F43" s="53">
        <v>46140</v>
      </c>
      <c r="G43" s="51" t="s">
        <v>18</v>
      </c>
      <c r="H43" s="51" t="s">
        <v>19</v>
      </c>
      <c r="I43" s="51"/>
    </row>
    <row r="44" spans="1:9">
      <c r="A44" s="47" t="s">
        <v>127</v>
      </c>
      <c r="B44" s="47" t="s">
        <v>119</v>
      </c>
      <c r="C44" s="48">
        <v>500</v>
      </c>
      <c r="D44" s="47" t="s">
        <v>68</v>
      </c>
      <c r="E44" s="47"/>
      <c r="F44" s="49">
        <v>46140</v>
      </c>
      <c r="G44" s="47" t="s">
        <v>18</v>
      </c>
      <c r="H44" s="47" t="s">
        <v>19</v>
      </c>
      <c r="I44" s="47"/>
    </row>
    <row r="45" spans="1:9">
      <c r="C45" s="39"/>
    </row>
    <row r="46" spans="1:9">
      <c r="C46" s="39"/>
    </row>
    <row r="47" spans="1:9">
      <c r="C47" s="39"/>
    </row>
    <row r="48" spans="1:9">
      <c r="C48" s="39"/>
    </row>
    <row r="49" spans="3:3">
      <c r="C49" s="39"/>
    </row>
    <row r="50" spans="3:3">
      <c r="C50" s="39"/>
    </row>
    <row r="51" spans="3:3">
      <c r="C51" s="39"/>
    </row>
    <row r="52" spans="3:3">
      <c r="C52" s="39"/>
    </row>
    <row r="53" spans="3:3">
      <c r="C53" s="39"/>
    </row>
  </sheetData>
  <conditionalFormatting sqref="A28:D31 A32:A40 C32:D40 A5:I21 A23:I27 A22:B22 I22">
    <cfRule type="expression" dxfId="29" priority="7">
      <formula>AND($E5&lt;TODAY(),$H5&lt;&gt;"PAGO")</formula>
    </cfRule>
    <cfRule type="expression" dxfId="28" priority="8">
      <formula>$H5="pago"</formula>
    </cfRule>
  </conditionalFormatting>
  <conditionalFormatting sqref="A7:I7 H8:H21 H23:H27">
    <cfRule type="expression" dxfId="27" priority="9">
      <formula>$H7="pago"</formula>
    </cfRule>
  </conditionalFormatting>
  <conditionalFormatting sqref="F8:F10">
    <cfRule type="expression" dxfId="26" priority="6">
      <formula>$H8="pago"</formula>
    </cfRule>
  </conditionalFormatting>
  <conditionalFormatting sqref="F8:F10">
    <cfRule type="expression" dxfId="25" priority="5">
      <formula>$H8="pago"</formula>
    </cfRule>
  </conditionalFormatting>
  <conditionalFormatting sqref="F8:F10">
    <cfRule type="expression" dxfId="24" priority="4">
      <formula>$H8="pago"</formula>
    </cfRule>
  </conditionalFormatting>
  <conditionalFormatting sqref="C22:H22">
    <cfRule type="expression" dxfId="23" priority="1">
      <formula>AND($E22&lt;TODAY(),$H22&lt;&gt;"PAGO")</formula>
    </cfRule>
    <cfRule type="expression" dxfId="22" priority="2">
      <formula>$H22="pago"</formula>
    </cfRule>
  </conditionalFormatting>
  <conditionalFormatting sqref="H22">
    <cfRule type="expression" dxfId="21" priority="3">
      <formula>$H22="pago"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36B5D-B245-404D-932F-01427B2D6A88}">
  <dimension ref="A1:I58"/>
  <sheetViews>
    <sheetView topLeftCell="A31" workbookViewId="0">
      <selection activeCell="E50" sqref="E50"/>
    </sheetView>
  </sheetViews>
  <sheetFormatPr defaultRowHeight="13.9"/>
  <cols>
    <col min="1" max="1" width="36.140625" customWidth="1"/>
    <col min="2" max="2" width="18.5703125" customWidth="1"/>
    <col min="3" max="3" width="17" style="39" customWidth="1"/>
    <col min="4" max="4" width="17.42578125" customWidth="1"/>
    <col min="5" max="5" width="15.28515625" customWidth="1"/>
    <col min="6" max="6" width="20" customWidth="1"/>
    <col min="7" max="7" width="20.140625" customWidth="1"/>
    <col min="8" max="8" width="15.7109375" customWidth="1"/>
    <col min="9" max="9" width="34.85546875" customWidth="1"/>
  </cols>
  <sheetData>
    <row r="1" spans="1:9" ht="45.75">
      <c r="A1" s="56" t="s">
        <v>128</v>
      </c>
      <c r="B1" s="75"/>
      <c r="C1" s="32" t="s">
        <v>1</v>
      </c>
      <c r="D1" s="2" t="s">
        <v>2</v>
      </c>
      <c r="E1" s="3" t="s">
        <v>3</v>
      </c>
      <c r="F1" s="76" t="s">
        <v>4</v>
      </c>
      <c r="G1" s="5" t="s">
        <v>5</v>
      </c>
      <c r="H1" s="75"/>
      <c r="I1" s="75"/>
    </row>
    <row r="2" spans="1:9" ht="57.75">
      <c r="A2" s="6" t="s">
        <v>74</v>
      </c>
      <c r="B2" s="1"/>
      <c r="C2" s="32">
        <f>SUM(C5:C41)</f>
        <v>98517.79</v>
      </c>
      <c r="D2" s="41">
        <f>SUM(C5:C27)</f>
        <v>17773.519999999997</v>
      </c>
      <c r="E2" s="40">
        <f>SUM(C5:C10,C28:C60,C12:C13,C15:C16,C17:C21,C25:C26)</f>
        <v>102094.85</v>
      </c>
      <c r="F2" s="69">
        <f>SUM(C22:C24,C27)</f>
        <v>4776.2</v>
      </c>
      <c r="G2" s="42">
        <f>SUM(C11)</f>
        <v>0</v>
      </c>
      <c r="H2" s="1"/>
      <c r="I2" s="8">
        <v>46141</v>
      </c>
    </row>
    <row r="3" spans="1:9" ht="15">
      <c r="A3" s="1"/>
      <c r="B3" s="1"/>
      <c r="C3" s="33"/>
      <c r="D3" s="1"/>
      <c r="E3" s="1"/>
      <c r="F3" s="1"/>
      <c r="G3" s="1"/>
      <c r="H3" s="1"/>
      <c r="I3" s="1"/>
    </row>
    <row r="4" spans="1:9" s="123" customFormat="1" ht="29.25">
      <c r="A4" s="120" t="s">
        <v>6</v>
      </c>
      <c r="B4" s="85" t="s">
        <v>7</v>
      </c>
      <c r="C4" s="121" t="s">
        <v>8</v>
      </c>
      <c r="D4" s="85" t="s">
        <v>9</v>
      </c>
      <c r="E4" s="85" t="s">
        <v>10</v>
      </c>
      <c r="F4" s="85" t="s">
        <v>11</v>
      </c>
      <c r="G4" s="85" t="s">
        <v>12</v>
      </c>
      <c r="H4" s="85" t="s">
        <v>13</v>
      </c>
      <c r="I4" s="122" t="s">
        <v>14</v>
      </c>
    </row>
    <row r="5" spans="1:9" ht="15">
      <c r="A5" s="27" t="s">
        <v>15</v>
      </c>
      <c r="B5" s="27" t="s">
        <v>16</v>
      </c>
      <c r="C5" s="35">
        <v>1900</v>
      </c>
      <c r="D5" s="27" t="s">
        <v>17</v>
      </c>
      <c r="E5" s="28">
        <v>46149</v>
      </c>
      <c r="F5" s="124">
        <v>46150</v>
      </c>
      <c r="G5" s="125" t="s">
        <v>18</v>
      </c>
      <c r="H5" s="125" t="s">
        <v>19</v>
      </c>
      <c r="I5" s="125"/>
    </row>
    <row r="6" spans="1:9" ht="15">
      <c r="A6" s="27" t="s">
        <v>20</v>
      </c>
      <c r="B6" s="27" t="s">
        <v>21</v>
      </c>
      <c r="C6" s="35">
        <v>1250</v>
      </c>
      <c r="D6" s="27" t="s">
        <v>22</v>
      </c>
      <c r="E6" s="28">
        <v>46149</v>
      </c>
      <c r="F6" s="124">
        <v>46150</v>
      </c>
      <c r="G6" s="125" t="s">
        <v>18</v>
      </c>
      <c r="H6" s="125" t="s">
        <v>19</v>
      </c>
      <c r="I6" s="125"/>
    </row>
    <row r="7" spans="1:9" ht="15">
      <c r="A7" s="126" t="s">
        <v>23</v>
      </c>
      <c r="B7" s="126" t="s">
        <v>24</v>
      </c>
      <c r="C7" s="127">
        <v>843.18</v>
      </c>
      <c r="D7" s="126" t="s">
        <v>22</v>
      </c>
      <c r="E7" s="128">
        <v>46152</v>
      </c>
      <c r="F7" s="128">
        <v>46161</v>
      </c>
      <c r="G7" s="125" t="s">
        <v>18</v>
      </c>
      <c r="H7" s="126" t="s">
        <v>19</v>
      </c>
      <c r="I7" s="126"/>
    </row>
    <row r="8" spans="1:9" ht="15">
      <c r="A8" s="18" t="s">
        <v>26</v>
      </c>
      <c r="B8" s="18" t="s">
        <v>24</v>
      </c>
      <c r="C8" s="36">
        <v>585.34</v>
      </c>
      <c r="D8" s="18" t="s">
        <v>17</v>
      </c>
      <c r="E8" s="15">
        <v>46152</v>
      </c>
      <c r="F8" s="139">
        <v>46161</v>
      </c>
      <c r="G8" s="125" t="s">
        <v>18</v>
      </c>
      <c r="H8" s="126" t="s">
        <v>19</v>
      </c>
      <c r="I8" s="36"/>
    </row>
    <row r="9" spans="1:9" ht="15">
      <c r="A9" s="18" t="s">
        <v>28</v>
      </c>
      <c r="B9" s="18" t="s">
        <v>24</v>
      </c>
      <c r="C9" s="36">
        <v>549.52</v>
      </c>
      <c r="D9" s="18" t="s">
        <v>17</v>
      </c>
      <c r="E9" s="15">
        <v>46152</v>
      </c>
      <c r="F9" s="130">
        <v>46163</v>
      </c>
      <c r="G9" s="125" t="s">
        <v>18</v>
      </c>
      <c r="H9" s="126" t="s">
        <v>19</v>
      </c>
      <c r="I9" s="126"/>
    </row>
    <row r="10" spans="1:9" ht="15">
      <c r="A10" s="18" t="s">
        <v>30</v>
      </c>
      <c r="B10" s="18" t="s">
        <v>24</v>
      </c>
      <c r="C10" s="36">
        <v>321.82</v>
      </c>
      <c r="D10" s="18" t="s">
        <v>17</v>
      </c>
      <c r="E10" s="15">
        <v>46152</v>
      </c>
      <c r="F10" s="130">
        <v>46163</v>
      </c>
      <c r="G10" s="125" t="s">
        <v>18</v>
      </c>
      <c r="H10" s="126" t="s">
        <v>19</v>
      </c>
      <c r="I10" s="126"/>
    </row>
    <row r="11" spans="1:9" ht="15">
      <c r="A11" s="18" t="s">
        <v>32</v>
      </c>
      <c r="B11" s="18" t="s">
        <v>33</v>
      </c>
      <c r="C11" s="36"/>
      <c r="D11" s="18" t="s">
        <v>22</v>
      </c>
      <c r="E11" s="15">
        <v>46152</v>
      </c>
      <c r="F11" s="131"/>
      <c r="G11" s="14"/>
      <c r="H11" s="126"/>
      <c r="I11" s="126"/>
    </row>
    <row r="12" spans="1:9" ht="15">
      <c r="A12" s="14" t="s">
        <v>35</v>
      </c>
      <c r="B12" s="14" t="s">
        <v>36</v>
      </c>
      <c r="C12" s="36">
        <v>400</v>
      </c>
      <c r="D12" s="14" t="s">
        <v>17</v>
      </c>
      <c r="E12" s="15">
        <v>46152</v>
      </c>
      <c r="F12" s="128">
        <v>46153</v>
      </c>
      <c r="G12" s="126" t="s">
        <v>18</v>
      </c>
      <c r="H12" s="126" t="s">
        <v>19</v>
      </c>
      <c r="I12" s="126"/>
    </row>
    <row r="13" spans="1:9" ht="15">
      <c r="A13" s="14" t="s">
        <v>35</v>
      </c>
      <c r="B13" s="14" t="s">
        <v>36</v>
      </c>
      <c r="C13" s="36">
        <v>200</v>
      </c>
      <c r="D13" s="14" t="s">
        <v>17</v>
      </c>
      <c r="E13" s="15">
        <v>46152</v>
      </c>
      <c r="F13" s="128">
        <v>46153</v>
      </c>
      <c r="G13" s="126" t="s">
        <v>18</v>
      </c>
      <c r="H13" s="126" t="s">
        <v>19</v>
      </c>
      <c r="I13" s="126"/>
    </row>
    <row r="14" spans="1:9" ht="15">
      <c r="A14" s="14" t="s">
        <v>42</v>
      </c>
      <c r="B14" s="126" t="s">
        <v>43</v>
      </c>
      <c r="C14" s="36">
        <v>488</v>
      </c>
      <c r="D14" s="14" t="s">
        <v>17</v>
      </c>
      <c r="E14" s="15">
        <v>46152</v>
      </c>
      <c r="F14" s="128">
        <v>46144</v>
      </c>
      <c r="G14" s="126" t="s">
        <v>18</v>
      </c>
      <c r="H14" s="126" t="s">
        <v>19</v>
      </c>
      <c r="I14" s="126" t="s">
        <v>129</v>
      </c>
    </row>
    <row r="15" spans="1:9" ht="15">
      <c r="A15" s="18" t="s">
        <v>44</v>
      </c>
      <c r="B15" s="18" t="s">
        <v>45</v>
      </c>
      <c r="C15" s="36">
        <v>262.89999999999998</v>
      </c>
      <c r="D15" s="18" t="s">
        <v>22</v>
      </c>
      <c r="E15" s="15">
        <v>46154</v>
      </c>
      <c r="F15" s="128">
        <v>46158</v>
      </c>
      <c r="G15" s="126" t="s">
        <v>18</v>
      </c>
      <c r="H15" s="126" t="s">
        <v>19</v>
      </c>
      <c r="I15" s="126"/>
    </row>
    <row r="16" spans="1:9" ht="15">
      <c r="A16" s="126" t="s">
        <v>46</v>
      </c>
      <c r="B16" s="126" t="s">
        <v>21</v>
      </c>
      <c r="C16" s="36">
        <v>35</v>
      </c>
      <c r="D16" s="126" t="s">
        <v>22</v>
      </c>
      <c r="E16" s="15">
        <v>46158</v>
      </c>
      <c r="F16" s="128">
        <v>46153</v>
      </c>
      <c r="G16" s="126" t="s">
        <v>18</v>
      </c>
      <c r="H16" s="126" t="s">
        <v>19</v>
      </c>
      <c r="I16" s="126"/>
    </row>
    <row r="17" spans="1:9" ht="15">
      <c r="A17" s="126" t="s">
        <v>47</v>
      </c>
      <c r="B17" s="126" t="s">
        <v>43</v>
      </c>
      <c r="C17" s="36">
        <v>675</v>
      </c>
      <c r="D17" s="126" t="s">
        <v>22</v>
      </c>
      <c r="E17" s="15">
        <v>46162</v>
      </c>
      <c r="F17" s="128">
        <v>46169</v>
      </c>
      <c r="G17" s="126" t="s">
        <v>18</v>
      </c>
      <c r="H17" s="126" t="s">
        <v>19</v>
      </c>
      <c r="I17" s="126"/>
    </row>
    <row r="18" spans="1:9" ht="15">
      <c r="A18" s="14" t="s">
        <v>48</v>
      </c>
      <c r="B18" s="14" t="s">
        <v>21</v>
      </c>
      <c r="C18" s="36">
        <v>1250</v>
      </c>
      <c r="D18" s="14" t="s">
        <v>17</v>
      </c>
      <c r="E18" s="15">
        <v>46164</v>
      </c>
      <c r="F18" s="128">
        <v>46167</v>
      </c>
      <c r="G18" s="126" t="s">
        <v>18</v>
      </c>
      <c r="H18" s="126" t="s">
        <v>19</v>
      </c>
      <c r="I18" s="126"/>
    </row>
    <row r="19" spans="1:9" ht="15">
      <c r="A19" s="14" t="s">
        <v>49</v>
      </c>
      <c r="B19" s="14" t="s">
        <v>16</v>
      </c>
      <c r="C19" s="36">
        <v>1900</v>
      </c>
      <c r="D19" s="14" t="s">
        <v>17</v>
      </c>
      <c r="E19" s="15">
        <v>46164</v>
      </c>
      <c r="F19" s="128">
        <v>46164</v>
      </c>
      <c r="G19" s="126" t="s">
        <v>18</v>
      </c>
      <c r="H19" s="126" t="s">
        <v>19</v>
      </c>
      <c r="I19" s="126"/>
    </row>
    <row r="20" spans="1:9" ht="15">
      <c r="A20" s="14" t="s">
        <v>50</v>
      </c>
      <c r="B20" s="14" t="s">
        <v>21</v>
      </c>
      <c r="C20" s="36">
        <v>136.56</v>
      </c>
      <c r="D20" s="14" t="s">
        <v>17</v>
      </c>
      <c r="E20" s="15">
        <v>46167</v>
      </c>
      <c r="F20" s="128">
        <v>46160</v>
      </c>
      <c r="G20" s="126" t="s">
        <v>18</v>
      </c>
      <c r="H20" s="126" t="s">
        <v>19</v>
      </c>
      <c r="I20" s="126" t="s">
        <v>130</v>
      </c>
    </row>
    <row r="21" spans="1:9" ht="15">
      <c r="A21" s="126" t="s">
        <v>51</v>
      </c>
      <c r="B21" s="126" t="s">
        <v>43</v>
      </c>
      <c r="C21" s="36"/>
      <c r="D21" s="126" t="s">
        <v>17</v>
      </c>
      <c r="E21" s="57">
        <v>46168</v>
      </c>
      <c r="F21" s="128">
        <v>46169</v>
      </c>
      <c r="G21" s="126" t="s">
        <v>18</v>
      </c>
      <c r="H21" s="126" t="s">
        <v>19</v>
      </c>
      <c r="I21" s="126"/>
    </row>
    <row r="22" spans="1:9" ht="15">
      <c r="A22" s="126" t="s">
        <v>53</v>
      </c>
      <c r="B22" s="126" t="s">
        <v>45</v>
      </c>
      <c r="C22" s="36">
        <v>2089.69</v>
      </c>
      <c r="D22" s="126" t="s">
        <v>17</v>
      </c>
      <c r="E22" s="57">
        <v>46171</v>
      </c>
      <c r="F22" s="54"/>
      <c r="G22" s="14"/>
      <c r="H22" s="126"/>
      <c r="I22" s="126"/>
    </row>
    <row r="23" spans="1:9" ht="15">
      <c r="A23" s="126" t="s">
        <v>55</v>
      </c>
      <c r="B23" s="126" t="s">
        <v>43</v>
      </c>
      <c r="C23" s="36">
        <v>507</v>
      </c>
      <c r="D23" s="126" t="s">
        <v>22</v>
      </c>
      <c r="E23" s="57">
        <v>46172</v>
      </c>
      <c r="F23" s="19"/>
      <c r="G23" s="14"/>
      <c r="H23" s="126"/>
      <c r="I23" s="126"/>
    </row>
    <row r="24" spans="1:9" ht="15">
      <c r="A24" s="22" t="s">
        <v>56</v>
      </c>
      <c r="B24" s="22" t="s">
        <v>57</v>
      </c>
      <c r="C24" s="38">
        <v>179.51</v>
      </c>
      <c r="D24" s="22" t="s">
        <v>22</v>
      </c>
      <c r="E24" s="57">
        <v>46172</v>
      </c>
      <c r="F24" s="24"/>
      <c r="G24" s="25"/>
      <c r="H24" s="126"/>
      <c r="I24" s="129"/>
    </row>
    <row r="25" spans="1:9" ht="15">
      <c r="A25" s="18" t="s">
        <v>59</v>
      </c>
      <c r="B25" s="18" t="s">
        <v>60</v>
      </c>
      <c r="C25" s="36">
        <v>1200</v>
      </c>
      <c r="D25" s="18" t="s">
        <v>17</v>
      </c>
      <c r="E25" s="57">
        <v>46172</v>
      </c>
      <c r="F25" s="19"/>
      <c r="G25" s="14"/>
      <c r="H25" s="126" t="s">
        <v>19</v>
      </c>
      <c r="I25" s="126"/>
    </row>
    <row r="26" spans="1:9" ht="15">
      <c r="A26" s="22" t="s">
        <v>61</v>
      </c>
      <c r="B26" s="22" t="s">
        <v>62</v>
      </c>
      <c r="C26" s="38">
        <v>1000</v>
      </c>
      <c r="D26" s="22" t="s">
        <v>17</v>
      </c>
      <c r="E26" s="57">
        <v>46172</v>
      </c>
      <c r="F26" s="24"/>
      <c r="G26" s="25"/>
      <c r="H26" s="129" t="s">
        <v>19</v>
      </c>
      <c r="I26" s="129"/>
    </row>
    <row r="27" spans="1:9" ht="15">
      <c r="A27" s="43" t="s">
        <v>63</v>
      </c>
      <c r="B27" s="43"/>
      <c r="C27" s="44">
        <v>2000</v>
      </c>
      <c r="D27" s="43" t="s">
        <v>22</v>
      </c>
      <c r="E27" s="132">
        <v>46172</v>
      </c>
      <c r="F27" s="133"/>
      <c r="G27" s="133"/>
      <c r="H27" s="134"/>
      <c r="I27" s="129"/>
    </row>
    <row r="28" spans="1:9">
      <c r="A28" s="51" t="s">
        <v>131</v>
      </c>
      <c r="B28" s="51" t="s">
        <v>65</v>
      </c>
      <c r="C28" s="52">
        <v>544</v>
      </c>
      <c r="D28" s="51" t="s">
        <v>68</v>
      </c>
      <c r="E28" s="51"/>
      <c r="F28" s="53">
        <v>46151</v>
      </c>
      <c r="G28" s="51" t="s">
        <v>18</v>
      </c>
      <c r="H28" s="51" t="s">
        <v>19</v>
      </c>
      <c r="I28" s="51"/>
    </row>
    <row r="29" spans="1:9">
      <c r="A29" s="47" t="s">
        <v>132</v>
      </c>
      <c r="B29" s="47"/>
      <c r="C29" s="48">
        <v>33.869999999999997</v>
      </c>
      <c r="D29" s="47" t="s">
        <v>68</v>
      </c>
      <c r="E29" s="47"/>
      <c r="F29" s="49">
        <v>46153</v>
      </c>
      <c r="G29" s="47" t="s">
        <v>18</v>
      </c>
      <c r="H29" s="47" t="s">
        <v>19</v>
      </c>
      <c r="I29" s="47"/>
    </row>
    <row r="30" spans="1:9">
      <c r="A30" s="51" t="s">
        <v>133</v>
      </c>
      <c r="B30" s="51" t="s">
        <v>62</v>
      </c>
      <c r="C30" s="52">
        <v>49</v>
      </c>
      <c r="D30" s="51" t="s">
        <v>68</v>
      </c>
      <c r="E30" s="51"/>
      <c r="F30" s="53">
        <v>46155</v>
      </c>
      <c r="G30" s="51" t="s">
        <v>18</v>
      </c>
      <c r="H30" s="51" t="s">
        <v>19</v>
      </c>
      <c r="I30" s="51"/>
    </row>
    <row r="31" spans="1:9" ht="15">
      <c r="A31" s="135" t="s">
        <v>115</v>
      </c>
      <c r="B31" s="135" t="s">
        <v>65</v>
      </c>
      <c r="C31" s="136">
        <v>50</v>
      </c>
      <c r="D31" s="135" t="s">
        <v>68</v>
      </c>
      <c r="E31" s="135"/>
      <c r="F31" s="137">
        <v>46158</v>
      </c>
      <c r="G31" s="135" t="s">
        <v>18</v>
      </c>
      <c r="H31" s="135" t="s">
        <v>19</v>
      </c>
      <c r="I31" s="135"/>
    </row>
    <row r="32" spans="1:9" ht="29.25">
      <c r="A32" s="138" t="s">
        <v>134</v>
      </c>
      <c r="B32" s="47" t="s">
        <v>135</v>
      </c>
      <c r="C32" s="48">
        <v>85</v>
      </c>
      <c r="D32" s="47" t="s">
        <v>68</v>
      </c>
      <c r="E32" s="47"/>
      <c r="F32" s="49">
        <v>46158</v>
      </c>
      <c r="G32" s="47" t="s">
        <v>18</v>
      </c>
      <c r="H32" s="47" t="s">
        <v>19</v>
      </c>
      <c r="I32" s="47"/>
    </row>
    <row r="33" spans="1:9">
      <c r="A33" s="47" t="s">
        <v>136</v>
      </c>
      <c r="B33" s="47" t="s">
        <v>117</v>
      </c>
      <c r="C33" s="48">
        <v>71.900000000000006</v>
      </c>
      <c r="D33" s="47" t="s">
        <v>68</v>
      </c>
      <c r="E33" s="47"/>
      <c r="F33" s="49">
        <v>46160</v>
      </c>
      <c r="G33" s="47" t="s">
        <v>18</v>
      </c>
      <c r="H33" s="47" t="s">
        <v>19</v>
      </c>
      <c r="I33" s="47"/>
    </row>
    <row r="34" spans="1:9">
      <c r="A34" s="47" t="s">
        <v>137</v>
      </c>
      <c r="B34" s="47" t="s">
        <v>138</v>
      </c>
      <c r="C34" s="48">
        <v>23735</v>
      </c>
      <c r="D34" s="47" t="s">
        <v>68</v>
      </c>
      <c r="E34" s="47"/>
      <c r="F34" s="49">
        <v>46160</v>
      </c>
      <c r="G34" s="47" t="s">
        <v>18</v>
      </c>
      <c r="H34" s="47" t="s">
        <v>19</v>
      </c>
      <c r="I34" s="47"/>
    </row>
    <row r="35" spans="1:9" ht="15">
      <c r="A35" s="140" t="s">
        <v>139</v>
      </c>
      <c r="B35" s="51" t="s">
        <v>21</v>
      </c>
      <c r="C35" s="52">
        <v>80</v>
      </c>
      <c r="D35" s="51" t="s">
        <v>68</v>
      </c>
      <c r="E35" s="51"/>
      <c r="F35" s="53">
        <v>46161</v>
      </c>
      <c r="G35" s="51" t="s">
        <v>18</v>
      </c>
      <c r="H35" s="51" t="s">
        <v>19</v>
      </c>
      <c r="I35" s="51"/>
    </row>
    <row r="36" spans="1:9">
      <c r="A36" s="51" t="s">
        <v>140</v>
      </c>
      <c r="B36" s="51" t="s">
        <v>117</v>
      </c>
      <c r="C36" s="52">
        <v>11.5</v>
      </c>
      <c r="D36" s="51" t="s">
        <v>68</v>
      </c>
      <c r="E36" s="51"/>
      <c r="F36" s="53">
        <v>46163</v>
      </c>
      <c r="G36" s="51" t="s">
        <v>18</v>
      </c>
      <c r="H36" s="51" t="s">
        <v>19</v>
      </c>
      <c r="I36" s="51"/>
    </row>
    <row r="37" spans="1:9" ht="29.25">
      <c r="A37" s="50" t="s">
        <v>141</v>
      </c>
      <c r="B37" s="51" t="s">
        <v>43</v>
      </c>
      <c r="C37" s="52">
        <v>976</v>
      </c>
      <c r="D37" s="51" t="s">
        <v>68</v>
      </c>
      <c r="E37" s="51"/>
      <c r="F37" s="53">
        <v>46161</v>
      </c>
      <c r="G37" s="51" t="s">
        <v>18</v>
      </c>
      <c r="H37" s="51" t="s">
        <v>19</v>
      </c>
      <c r="I37" s="51" t="s">
        <v>142</v>
      </c>
    </row>
    <row r="38" spans="1:9">
      <c r="A38" s="51" t="s">
        <v>143</v>
      </c>
      <c r="B38" s="51" t="s">
        <v>43</v>
      </c>
      <c r="C38" s="52">
        <v>4520</v>
      </c>
      <c r="D38" s="51" t="s">
        <v>68</v>
      </c>
      <c r="E38" s="51"/>
      <c r="F38" s="53">
        <v>46161</v>
      </c>
      <c r="G38" s="51" t="s">
        <v>18</v>
      </c>
      <c r="H38" s="51" t="s">
        <v>19</v>
      </c>
      <c r="I38" s="51" t="s">
        <v>142</v>
      </c>
    </row>
    <row r="39" spans="1:9">
      <c r="A39" s="47" t="s">
        <v>144</v>
      </c>
      <c r="B39" s="47" t="s">
        <v>117</v>
      </c>
      <c r="C39" s="48">
        <v>400</v>
      </c>
      <c r="D39" s="47" t="s">
        <v>68</v>
      </c>
      <c r="E39" s="47"/>
      <c r="F39" s="49">
        <v>46164</v>
      </c>
      <c r="G39" s="47" t="s">
        <v>18</v>
      </c>
      <c r="H39" s="47" t="s">
        <v>19</v>
      </c>
      <c r="I39" s="47"/>
    </row>
    <row r="40" spans="1:9">
      <c r="A40" s="51" t="s">
        <v>145</v>
      </c>
      <c r="B40" s="51" t="s">
        <v>146</v>
      </c>
      <c r="C40" s="52">
        <v>50000</v>
      </c>
      <c r="D40" s="51" t="s">
        <v>68</v>
      </c>
      <c r="E40" s="51"/>
      <c r="F40" s="53">
        <v>46165</v>
      </c>
      <c r="G40" s="51" t="s">
        <v>18</v>
      </c>
      <c r="H40" s="51" t="s">
        <v>19</v>
      </c>
      <c r="I40" s="51"/>
    </row>
    <row r="41" spans="1:9">
      <c r="A41" s="51" t="s">
        <v>82</v>
      </c>
      <c r="B41" s="51" t="s">
        <v>21</v>
      </c>
      <c r="C41" s="52">
        <v>188</v>
      </c>
      <c r="D41" s="51" t="s">
        <v>68</v>
      </c>
      <c r="E41" s="51"/>
      <c r="F41" s="53">
        <v>46168</v>
      </c>
      <c r="G41" s="51" t="s">
        <v>18</v>
      </c>
      <c r="H41" s="51" t="s">
        <v>19</v>
      </c>
      <c r="I41" s="51"/>
    </row>
    <row r="42" spans="1:9">
      <c r="A42" s="47" t="s">
        <v>147</v>
      </c>
      <c r="B42" s="47" t="s">
        <v>57</v>
      </c>
      <c r="C42" s="48">
        <v>1222.21</v>
      </c>
      <c r="D42" s="47" t="s">
        <v>148</v>
      </c>
      <c r="E42" s="49">
        <v>46171</v>
      </c>
      <c r="F42" s="49">
        <v>46168</v>
      </c>
      <c r="G42" s="47" t="s">
        <v>18</v>
      </c>
      <c r="H42" s="47" t="s">
        <v>19</v>
      </c>
      <c r="I42" s="47"/>
    </row>
    <row r="43" spans="1:9">
      <c r="A43" s="47" t="s">
        <v>147</v>
      </c>
      <c r="B43" s="47" t="s">
        <v>57</v>
      </c>
      <c r="C43" s="48">
        <v>186.97</v>
      </c>
      <c r="D43" s="47" t="s">
        <v>149</v>
      </c>
      <c r="E43" s="49">
        <v>46171</v>
      </c>
      <c r="F43" s="49">
        <v>46168</v>
      </c>
      <c r="G43" s="47" t="s">
        <v>18</v>
      </c>
      <c r="H43" s="47" t="s">
        <v>19</v>
      </c>
      <c r="I43" s="47"/>
    </row>
    <row r="44" spans="1:9">
      <c r="A44" s="47" t="s">
        <v>147</v>
      </c>
      <c r="B44" s="47" t="s">
        <v>57</v>
      </c>
      <c r="C44" s="48">
        <v>566.51</v>
      </c>
      <c r="D44" s="47" t="s">
        <v>150</v>
      </c>
      <c r="E44" s="49">
        <v>46171</v>
      </c>
      <c r="F44" s="49">
        <v>46168</v>
      </c>
      <c r="G44" s="47" t="s">
        <v>18</v>
      </c>
      <c r="H44" s="47" t="s">
        <v>19</v>
      </c>
      <c r="I44" s="47"/>
    </row>
    <row r="45" spans="1:9">
      <c r="A45" s="47" t="s">
        <v>151</v>
      </c>
      <c r="B45" s="47" t="s">
        <v>57</v>
      </c>
      <c r="C45" s="48">
        <v>493.1</v>
      </c>
      <c r="D45" s="47" t="s">
        <v>68</v>
      </c>
      <c r="E45" s="47"/>
      <c r="F45" s="49">
        <v>46168</v>
      </c>
      <c r="G45" s="47" t="s">
        <v>18</v>
      </c>
      <c r="H45" s="47" t="s">
        <v>19</v>
      </c>
      <c r="I45" s="47"/>
    </row>
    <row r="46" spans="1:9">
      <c r="A46" s="47" t="s">
        <v>152</v>
      </c>
      <c r="B46" s="47" t="s">
        <v>21</v>
      </c>
      <c r="C46" s="48">
        <v>1000</v>
      </c>
      <c r="D46" s="47" t="s">
        <v>68</v>
      </c>
      <c r="E46" s="47"/>
      <c r="F46" s="49">
        <v>46169</v>
      </c>
      <c r="G46" s="47" t="s">
        <v>18</v>
      </c>
      <c r="H46" s="47" t="s">
        <v>19</v>
      </c>
      <c r="I46" s="47" t="s">
        <v>153</v>
      </c>
    </row>
    <row r="47" spans="1:9">
      <c r="A47" s="47" t="s">
        <v>154</v>
      </c>
      <c r="B47" s="47" t="s">
        <v>43</v>
      </c>
      <c r="C47" s="48">
        <v>2260</v>
      </c>
      <c r="D47" s="47" t="s">
        <v>68</v>
      </c>
      <c r="E47" s="47"/>
      <c r="F47" s="49">
        <v>46169</v>
      </c>
      <c r="G47" s="47" t="s">
        <v>18</v>
      </c>
      <c r="H47" s="47" t="s">
        <v>19</v>
      </c>
      <c r="I47" s="47"/>
    </row>
    <row r="48" spans="1:9">
      <c r="A48" s="47" t="s">
        <v>155</v>
      </c>
      <c r="B48" s="47" t="s">
        <v>21</v>
      </c>
      <c r="C48" s="48">
        <v>250</v>
      </c>
      <c r="D48" s="47" t="s">
        <v>68</v>
      </c>
      <c r="E48" s="47"/>
      <c r="F48" s="49">
        <v>46169</v>
      </c>
      <c r="G48" s="47" t="s">
        <v>18</v>
      </c>
      <c r="H48" s="47" t="s">
        <v>19</v>
      </c>
      <c r="I48" s="47"/>
    </row>
    <row r="49" spans="1:9">
      <c r="A49" s="47" t="s">
        <v>156</v>
      </c>
      <c r="B49" s="47" t="s">
        <v>157</v>
      </c>
      <c r="C49" s="48">
        <v>241.64</v>
      </c>
      <c r="D49" s="47" t="s">
        <v>158</v>
      </c>
      <c r="E49" s="49">
        <v>46179</v>
      </c>
      <c r="F49" s="49">
        <v>46170</v>
      </c>
      <c r="G49" s="47" t="s">
        <v>18</v>
      </c>
      <c r="H49" s="47" t="s">
        <v>19</v>
      </c>
      <c r="I49" s="47"/>
    </row>
    <row r="50" spans="1:9">
      <c r="A50" s="47" t="s">
        <v>156</v>
      </c>
      <c r="B50" s="47" t="s">
        <v>157</v>
      </c>
      <c r="C50" s="48">
        <v>241.64</v>
      </c>
      <c r="D50" s="47" t="s">
        <v>159</v>
      </c>
      <c r="E50" s="49">
        <v>46209</v>
      </c>
      <c r="F50" s="49">
        <v>46170</v>
      </c>
      <c r="G50" s="47" t="s">
        <v>18</v>
      </c>
      <c r="H50" s="47" t="s">
        <v>19</v>
      </c>
      <c r="I50" s="47"/>
    </row>
    <row r="51" spans="1:9">
      <c r="A51" s="47" t="s">
        <v>156</v>
      </c>
      <c r="B51" s="47" t="s">
        <v>157</v>
      </c>
      <c r="C51" s="48">
        <v>241.64</v>
      </c>
      <c r="D51" s="47" t="s">
        <v>160</v>
      </c>
      <c r="E51" s="49">
        <v>46240</v>
      </c>
      <c r="F51" s="49">
        <v>46170</v>
      </c>
      <c r="G51" s="47" t="s">
        <v>18</v>
      </c>
      <c r="H51" s="47" t="s">
        <v>19</v>
      </c>
      <c r="I51" s="47"/>
    </row>
    <row r="52" spans="1:9">
      <c r="A52" s="47" t="s">
        <v>156</v>
      </c>
      <c r="B52" s="47" t="s">
        <v>157</v>
      </c>
      <c r="C52" s="48">
        <v>241.64</v>
      </c>
      <c r="D52" s="47" t="s">
        <v>161</v>
      </c>
      <c r="E52" s="49">
        <v>46271</v>
      </c>
      <c r="F52" s="49">
        <v>46170</v>
      </c>
      <c r="G52" s="47" t="s">
        <v>18</v>
      </c>
      <c r="H52" s="47" t="s">
        <v>19</v>
      </c>
      <c r="I52" s="47"/>
    </row>
    <row r="53" spans="1:9">
      <c r="A53" s="51" t="s">
        <v>162</v>
      </c>
      <c r="B53" s="51" t="s">
        <v>163</v>
      </c>
      <c r="C53" s="52">
        <v>58.98</v>
      </c>
      <c r="D53" s="51" t="s">
        <v>68</v>
      </c>
      <c r="E53" s="51"/>
      <c r="F53" s="53">
        <v>46170</v>
      </c>
      <c r="G53" s="51" t="s">
        <v>18</v>
      </c>
      <c r="H53" s="51" t="s">
        <v>19</v>
      </c>
      <c r="I53" s="51"/>
    </row>
    <row r="54" spans="1:9">
      <c r="A54" s="47" t="s">
        <v>164</v>
      </c>
      <c r="B54" s="47" t="s">
        <v>165</v>
      </c>
      <c r="C54" s="48">
        <v>636.30999999999995</v>
      </c>
      <c r="D54" s="47" t="s">
        <v>68</v>
      </c>
      <c r="E54" s="47"/>
      <c r="F54" s="49">
        <v>46170</v>
      </c>
      <c r="G54" s="47" t="s">
        <v>18</v>
      </c>
      <c r="H54" s="47" t="s">
        <v>19</v>
      </c>
      <c r="I54" s="47"/>
    </row>
    <row r="55" spans="1:9">
      <c r="A55" s="47" t="s">
        <v>166</v>
      </c>
      <c r="B55" s="47" t="s">
        <v>21</v>
      </c>
      <c r="C55" s="48">
        <v>101.99</v>
      </c>
      <c r="D55" s="47" t="s">
        <v>68</v>
      </c>
      <c r="E55" s="47"/>
      <c r="F55" s="49">
        <v>46170</v>
      </c>
      <c r="G55" s="47" t="s">
        <v>18</v>
      </c>
      <c r="H55" s="47" t="s">
        <v>19</v>
      </c>
      <c r="I55" s="47"/>
    </row>
    <row r="56" spans="1:9">
      <c r="A56" s="51" t="s">
        <v>167</v>
      </c>
      <c r="B56" s="51" t="s">
        <v>108</v>
      </c>
      <c r="C56" s="52">
        <v>500</v>
      </c>
      <c r="D56" s="51" t="s">
        <v>68</v>
      </c>
      <c r="E56" s="51"/>
      <c r="F56" s="53">
        <v>46171</v>
      </c>
      <c r="G56" s="51" t="s">
        <v>18</v>
      </c>
      <c r="H56" s="51" t="s">
        <v>19</v>
      </c>
      <c r="I56" s="51"/>
    </row>
    <row r="57" spans="1:9">
      <c r="A57" s="47" t="s">
        <v>168</v>
      </c>
      <c r="B57" s="47" t="s">
        <v>45</v>
      </c>
      <c r="C57" s="48">
        <v>50</v>
      </c>
      <c r="D57" s="47" t="s">
        <v>68</v>
      </c>
      <c r="E57" s="47"/>
      <c r="F57" s="49">
        <v>46173</v>
      </c>
      <c r="G57" s="47" t="s">
        <v>18</v>
      </c>
      <c r="H57" s="47" t="s">
        <v>19</v>
      </c>
      <c r="I57" s="47"/>
    </row>
    <row r="58" spans="1:9">
      <c r="A58" s="47" t="s">
        <v>147</v>
      </c>
      <c r="B58" s="47" t="s">
        <v>57</v>
      </c>
      <c r="C58" s="48">
        <v>548.63</v>
      </c>
      <c r="D58" s="47" t="s">
        <v>169</v>
      </c>
      <c r="E58" s="47"/>
      <c r="F58" s="49">
        <v>46171</v>
      </c>
      <c r="G58" s="47" t="s">
        <v>18</v>
      </c>
      <c r="H58" s="47" t="s">
        <v>19</v>
      </c>
      <c r="I58" s="47"/>
    </row>
  </sheetData>
  <conditionalFormatting sqref="A5:I27">
    <cfRule type="expression" dxfId="20" priority="4">
      <formula>AND($E5&lt;TODAY(),$H5&lt;&gt;"PAGO")</formula>
    </cfRule>
    <cfRule type="expression" dxfId="19" priority="5">
      <formula>$H5="pago"</formula>
    </cfRule>
  </conditionalFormatting>
  <conditionalFormatting sqref="A7:I7 H8:H27">
    <cfRule type="expression" dxfId="18" priority="6">
      <formula>$H7="pago"</formula>
    </cfRule>
  </conditionalFormatting>
  <conditionalFormatting sqref="F8:F10">
    <cfRule type="expression" dxfId="17" priority="3">
      <formula>$H8="pago"</formula>
    </cfRule>
  </conditionalFormatting>
  <conditionalFormatting sqref="F8:F10">
    <cfRule type="expression" dxfId="16" priority="2">
      <formula>$H8="pago"</formula>
    </cfRule>
  </conditionalFormatting>
  <conditionalFormatting sqref="F8:F10">
    <cfRule type="expression" dxfId="15" priority="1">
      <formula>$H8="pago"</formula>
    </cfRule>
  </conditionalFormatting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10425-E5D6-4403-8940-F33F800FED25}">
  <dimension ref="A1:I49"/>
  <sheetViews>
    <sheetView topLeftCell="A46" workbookViewId="0">
      <selection activeCell="J29" sqref="J29"/>
    </sheetView>
  </sheetViews>
  <sheetFormatPr defaultRowHeight="13.9"/>
  <cols>
    <col min="1" max="1" width="37.7109375" customWidth="1"/>
    <col min="2" max="2" width="18.28515625" customWidth="1"/>
    <col min="3" max="3" width="17" style="39" customWidth="1"/>
    <col min="4" max="4" width="15.42578125" customWidth="1"/>
    <col min="5" max="5" width="15.85546875" customWidth="1"/>
    <col min="6" max="6" width="17.140625" customWidth="1"/>
    <col min="7" max="7" width="19.7109375" customWidth="1"/>
    <col min="8" max="8" width="9.28515625" customWidth="1"/>
    <col min="9" max="9" width="37.5703125" customWidth="1"/>
  </cols>
  <sheetData>
    <row r="1" spans="1:9" ht="45.75">
      <c r="A1" s="56" t="s">
        <v>170</v>
      </c>
      <c r="B1" s="75"/>
      <c r="C1" s="32" t="s">
        <v>1</v>
      </c>
      <c r="D1" s="2" t="s">
        <v>2</v>
      </c>
      <c r="E1" s="3" t="s">
        <v>3</v>
      </c>
      <c r="F1" s="76" t="s">
        <v>4</v>
      </c>
      <c r="G1" s="5" t="s">
        <v>5</v>
      </c>
      <c r="H1" s="75"/>
      <c r="I1" s="75"/>
    </row>
    <row r="2" spans="1:9" ht="21.75">
      <c r="A2" s="6" t="s">
        <v>74</v>
      </c>
      <c r="B2" s="1"/>
      <c r="C2" s="32">
        <f>SUM(C5:C49)</f>
        <v>30395.83</v>
      </c>
      <c r="D2" s="41">
        <f>SUM(C6:C33)</f>
        <v>20143.04</v>
      </c>
      <c r="E2" s="40">
        <f>SUM(C6:C17,C19:C22,C28,C31:C49)</f>
        <v>26913.06</v>
      </c>
      <c r="F2" s="69"/>
      <c r="G2" s="42">
        <f>SUM(C18,C23,C29:C30)</f>
        <v>686.51</v>
      </c>
      <c r="H2" s="1"/>
      <c r="I2" s="8">
        <v>46141</v>
      </c>
    </row>
    <row r="3" spans="1:9" ht="15">
      <c r="A3" s="1"/>
      <c r="B3" s="1"/>
      <c r="C3" s="33"/>
      <c r="D3" s="1"/>
      <c r="E3" s="1"/>
      <c r="F3" s="1"/>
      <c r="G3" s="1"/>
      <c r="H3" s="1"/>
      <c r="I3" s="1"/>
    </row>
    <row r="4" spans="1:9" ht="29.25">
      <c r="A4" s="120" t="s">
        <v>6</v>
      </c>
      <c r="B4" s="85" t="s">
        <v>7</v>
      </c>
      <c r="C4" s="121" t="s">
        <v>8</v>
      </c>
      <c r="D4" s="85" t="s">
        <v>9</v>
      </c>
      <c r="E4" s="85" t="s">
        <v>10</v>
      </c>
      <c r="F4" s="85" t="s">
        <v>11</v>
      </c>
      <c r="G4" s="85" t="s">
        <v>12</v>
      </c>
      <c r="H4" s="85" t="s">
        <v>13</v>
      </c>
      <c r="I4" s="122" t="s">
        <v>14</v>
      </c>
    </row>
    <row r="5" spans="1:9" ht="15">
      <c r="A5" s="141" t="s">
        <v>156</v>
      </c>
      <c r="B5" s="141" t="s">
        <v>157</v>
      </c>
      <c r="C5" s="142">
        <v>241.64</v>
      </c>
      <c r="D5" s="141" t="s">
        <v>171</v>
      </c>
      <c r="E5" s="143">
        <v>46301</v>
      </c>
      <c r="F5" s="143"/>
      <c r="G5" s="141"/>
      <c r="H5" s="141"/>
      <c r="I5" s="141"/>
    </row>
    <row r="6" spans="1:9" ht="15">
      <c r="A6" s="27" t="s">
        <v>15</v>
      </c>
      <c r="B6" s="27" t="s">
        <v>16</v>
      </c>
      <c r="C6" s="35">
        <v>1900</v>
      </c>
      <c r="D6" s="27" t="s">
        <v>17</v>
      </c>
      <c r="E6" s="28">
        <v>46180</v>
      </c>
      <c r="F6" s="124">
        <v>46179</v>
      </c>
      <c r="G6" s="125" t="s">
        <v>18</v>
      </c>
      <c r="H6" s="125" t="s">
        <v>19</v>
      </c>
      <c r="I6" s="125"/>
    </row>
    <row r="7" spans="1:9" ht="15">
      <c r="A7" s="27" t="s">
        <v>20</v>
      </c>
      <c r="B7" s="27" t="s">
        <v>21</v>
      </c>
      <c r="C7" s="35">
        <v>1250</v>
      </c>
      <c r="D7" s="27" t="s">
        <v>22</v>
      </c>
      <c r="E7" s="28">
        <v>46180</v>
      </c>
      <c r="F7" s="124">
        <v>46179</v>
      </c>
      <c r="G7" s="125" t="s">
        <v>18</v>
      </c>
      <c r="H7" s="125" t="s">
        <v>19</v>
      </c>
      <c r="I7" s="125"/>
    </row>
    <row r="8" spans="1:9" ht="15">
      <c r="A8" s="126" t="s">
        <v>23</v>
      </c>
      <c r="B8" s="126" t="s">
        <v>24</v>
      </c>
      <c r="C8" s="127">
        <v>850.93</v>
      </c>
      <c r="D8" s="126" t="s">
        <v>22</v>
      </c>
      <c r="E8" s="128">
        <v>46183</v>
      </c>
      <c r="F8" s="128">
        <v>46188</v>
      </c>
      <c r="G8" s="125" t="s">
        <v>18</v>
      </c>
      <c r="H8" s="126" t="s">
        <v>19</v>
      </c>
      <c r="I8" s="126"/>
    </row>
    <row r="9" spans="1:9" ht="15">
      <c r="A9" s="18" t="s">
        <v>26</v>
      </c>
      <c r="B9" s="18" t="s">
        <v>24</v>
      </c>
      <c r="C9" s="36">
        <v>590.72</v>
      </c>
      <c r="D9" s="18" t="s">
        <v>17</v>
      </c>
      <c r="E9" s="15">
        <v>46183</v>
      </c>
      <c r="F9" s="130">
        <v>46188</v>
      </c>
      <c r="G9" s="125" t="s">
        <v>18</v>
      </c>
      <c r="H9" s="126" t="s">
        <v>19</v>
      </c>
      <c r="I9" s="36"/>
    </row>
    <row r="10" spans="1:9" ht="29.25">
      <c r="A10" s="18" t="s">
        <v>28</v>
      </c>
      <c r="B10" s="18" t="s">
        <v>24</v>
      </c>
      <c r="C10" s="36">
        <v>549.52</v>
      </c>
      <c r="D10" s="18" t="s">
        <v>17</v>
      </c>
      <c r="E10" s="15">
        <v>46183</v>
      </c>
      <c r="F10" s="130">
        <v>46192</v>
      </c>
      <c r="G10" s="145" t="s">
        <v>172</v>
      </c>
      <c r="H10" s="126" t="s">
        <v>19</v>
      </c>
      <c r="I10" s="126"/>
    </row>
    <row r="11" spans="1:9" ht="29.25">
      <c r="A11" s="18" t="s">
        <v>30</v>
      </c>
      <c r="B11" s="18" t="s">
        <v>24</v>
      </c>
      <c r="C11" s="36">
        <v>321.82</v>
      </c>
      <c r="D11" s="18" t="s">
        <v>17</v>
      </c>
      <c r="E11" s="15">
        <v>46183</v>
      </c>
      <c r="F11" s="130">
        <v>46192</v>
      </c>
      <c r="G11" s="145" t="s">
        <v>172</v>
      </c>
      <c r="H11" s="126" t="s">
        <v>19</v>
      </c>
      <c r="I11" s="126"/>
    </row>
    <row r="12" spans="1:9" ht="15">
      <c r="A12" s="18" t="s">
        <v>32</v>
      </c>
      <c r="B12" s="18" t="s">
        <v>33</v>
      </c>
      <c r="C12" s="36">
        <v>500.22</v>
      </c>
      <c r="D12" s="18" t="s">
        <v>22</v>
      </c>
      <c r="E12" s="15">
        <v>46183</v>
      </c>
      <c r="F12" s="144">
        <v>46184</v>
      </c>
      <c r="G12" s="14" t="s">
        <v>18</v>
      </c>
      <c r="H12" s="126" t="s">
        <v>19</v>
      </c>
      <c r="I12" s="126"/>
    </row>
    <row r="13" spans="1:9" ht="15">
      <c r="A13" s="14" t="s">
        <v>35</v>
      </c>
      <c r="B13" s="14" t="s">
        <v>36</v>
      </c>
      <c r="C13" s="36">
        <v>409.33</v>
      </c>
      <c r="D13" s="14" t="s">
        <v>17</v>
      </c>
      <c r="E13" s="15">
        <v>46183</v>
      </c>
      <c r="F13" s="128">
        <v>46184</v>
      </c>
      <c r="G13" s="126" t="s">
        <v>18</v>
      </c>
      <c r="H13" s="126" t="s">
        <v>19</v>
      </c>
      <c r="I13" s="126"/>
    </row>
    <row r="14" spans="1:9" ht="15">
      <c r="A14" s="14" t="s">
        <v>35</v>
      </c>
      <c r="B14" s="14" t="s">
        <v>36</v>
      </c>
      <c r="C14" s="36">
        <v>204.66</v>
      </c>
      <c r="D14" s="14" t="s">
        <v>17</v>
      </c>
      <c r="E14" s="15">
        <v>46183</v>
      </c>
      <c r="F14" s="128">
        <v>46184</v>
      </c>
      <c r="G14" s="126" t="s">
        <v>18</v>
      </c>
      <c r="H14" s="126" t="s">
        <v>19</v>
      </c>
      <c r="I14" s="126"/>
    </row>
    <row r="15" spans="1:9" ht="29.25">
      <c r="A15" s="14" t="s">
        <v>42</v>
      </c>
      <c r="B15" s="126" t="s">
        <v>43</v>
      </c>
      <c r="C15" s="36">
        <v>488</v>
      </c>
      <c r="D15" s="14" t="s">
        <v>17</v>
      </c>
      <c r="E15" s="15">
        <v>46183</v>
      </c>
      <c r="F15" s="128">
        <v>46196</v>
      </c>
      <c r="G15" s="20" t="s">
        <v>172</v>
      </c>
      <c r="H15" s="126" t="s">
        <v>19</v>
      </c>
      <c r="I15" s="126"/>
    </row>
    <row r="16" spans="1:9" ht="15">
      <c r="A16" s="18" t="s">
        <v>44</v>
      </c>
      <c r="B16" s="18" t="s">
        <v>45</v>
      </c>
      <c r="C16" s="36">
        <v>262.89999999999998</v>
      </c>
      <c r="D16" s="18" t="s">
        <v>22</v>
      </c>
      <c r="E16" s="15">
        <v>46185</v>
      </c>
      <c r="F16" s="128">
        <v>46186</v>
      </c>
      <c r="G16" s="126" t="s">
        <v>18</v>
      </c>
      <c r="H16" s="126" t="s">
        <v>19</v>
      </c>
      <c r="I16" s="126"/>
    </row>
    <row r="17" spans="1:9" ht="29.25">
      <c r="A17" s="126" t="s">
        <v>46</v>
      </c>
      <c r="B17" s="126" t="s">
        <v>21</v>
      </c>
      <c r="C17" s="36">
        <v>35</v>
      </c>
      <c r="D17" s="126" t="s">
        <v>22</v>
      </c>
      <c r="E17" s="15">
        <v>46189</v>
      </c>
      <c r="F17" s="128">
        <v>46196</v>
      </c>
      <c r="G17" s="20" t="s">
        <v>172</v>
      </c>
      <c r="H17" s="126" t="s">
        <v>19</v>
      </c>
      <c r="I17" s="126"/>
    </row>
    <row r="18" spans="1:9" ht="15">
      <c r="A18" s="126" t="s">
        <v>47</v>
      </c>
      <c r="B18" s="126" t="s">
        <v>43</v>
      </c>
      <c r="C18" s="36"/>
      <c r="D18" s="126" t="s">
        <v>22</v>
      </c>
      <c r="E18" s="15">
        <v>46193</v>
      </c>
      <c r="F18" s="128"/>
      <c r="G18" s="126"/>
      <c r="H18" s="126" t="s">
        <v>19</v>
      </c>
      <c r="I18" s="126" t="s">
        <v>173</v>
      </c>
    </row>
    <row r="19" spans="1:9" ht="29.25">
      <c r="A19" s="14" t="s">
        <v>48</v>
      </c>
      <c r="B19" s="14" t="s">
        <v>21</v>
      </c>
      <c r="C19" s="36">
        <v>1250</v>
      </c>
      <c r="D19" s="14" t="s">
        <v>17</v>
      </c>
      <c r="E19" s="15">
        <v>46195</v>
      </c>
      <c r="F19" s="128">
        <v>46196</v>
      </c>
      <c r="G19" s="20" t="s">
        <v>172</v>
      </c>
      <c r="H19" s="126" t="s">
        <v>19</v>
      </c>
      <c r="I19" s="126"/>
    </row>
    <row r="20" spans="1:9" ht="29.25">
      <c r="A20" s="14" t="s">
        <v>49</v>
      </c>
      <c r="B20" s="14" t="s">
        <v>16</v>
      </c>
      <c r="C20" s="36">
        <v>1900</v>
      </c>
      <c r="D20" s="14" t="s">
        <v>17</v>
      </c>
      <c r="E20" s="15">
        <v>46195</v>
      </c>
      <c r="F20" s="128">
        <v>46196</v>
      </c>
      <c r="G20" s="20" t="s">
        <v>172</v>
      </c>
      <c r="H20" s="126" t="s">
        <v>19</v>
      </c>
      <c r="I20" s="126"/>
    </row>
    <row r="21" spans="1:9" ht="29.25">
      <c r="A21" s="14" t="s">
        <v>50</v>
      </c>
      <c r="B21" s="14" t="s">
        <v>21</v>
      </c>
      <c r="C21" s="36">
        <v>69.349999999999994</v>
      </c>
      <c r="D21" s="14" t="s">
        <v>17</v>
      </c>
      <c r="E21" s="15">
        <v>46198</v>
      </c>
      <c r="F21" s="128">
        <v>46205</v>
      </c>
      <c r="G21" s="20" t="s">
        <v>172</v>
      </c>
      <c r="H21" s="126" t="s">
        <v>19</v>
      </c>
      <c r="I21" s="126"/>
    </row>
    <row r="22" spans="1:9" ht="29.25">
      <c r="A22" s="14" t="s">
        <v>174</v>
      </c>
      <c r="B22" s="14" t="s">
        <v>21</v>
      </c>
      <c r="C22" s="36">
        <v>44.83</v>
      </c>
      <c r="D22" s="14" t="s">
        <v>17</v>
      </c>
      <c r="E22" s="15">
        <v>46198</v>
      </c>
      <c r="F22" s="128">
        <v>46205</v>
      </c>
      <c r="G22" s="20" t="s">
        <v>172</v>
      </c>
      <c r="H22" s="126" t="s">
        <v>19</v>
      </c>
      <c r="I22" s="126" t="s">
        <v>175</v>
      </c>
    </row>
    <row r="23" spans="1:9" ht="15">
      <c r="A23" s="126" t="s">
        <v>51</v>
      </c>
      <c r="B23" s="126" t="s">
        <v>43</v>
      </c>
      <c r="C23" s="36"/>
      <c r="D23" s="126" t="s">
        <v>17</v>
      </c>
      <c r="E23" s="57">
        <v>46199</v>
      </c>
      <c r="F23" s="128">
        <v>46223</v>
      </c>
      <c r="G23" s="126" t="s">
        <v>18</v>
      </c>
      <c r="H23" s="126" t="s">
        <v>19</v>
      </c>
      <c r="I23" s="126" t="s">
        <v>173</v>
      </c>
    </row>
    <row r="24" spans="1:9" ht="15">
      <c r="A24" s="141" t="s">
        <v>147</v>
      </c>
      <c r="B24" s="141" t="s">
        <v>57</v>
      </c>
      <c r="C24" s="142">
        <v>1222.21</v>
      </c>
      <c r="D24" s="141" t="s">
        <v>176</v>
      </c>
      <c r="E24" s="57">
        <v>46202</v>
      </c>
      <c r="F24" s="128"/>
      <c r="G24" s="126"/>
      <c r="H24" s="126"/>
      <c r="I24" s="126"/>
    </row>
    <row r="25" spans="1:9" ht="15">
      <c r="A25" s="141" t="s">
        <v>147</v>
      </c>
      <c r="B25" s="141" t="s">
        <v>57</v>
      </c>
      <c r="C25" s="142">
        <v>186.97</v>
      </c>
      <c r="D25" s="141" t="s">
        <v>177</v>
      </c>
      <c r="E25" s="57">
        <v>46202</v>
      </c>
      <c r="F25" s="128"/>
      <c r="G25" s="126"/>
      <c r="H25" s="126"/>
      <c r="I25" s="126"/>
    </row>
    <row r="26" spans="1:9" ht="15">
      <c r="A26" s="141" t="s">
        <v>147</v>
      </c>
      <c r="B26" s="141" t="s">
        <v>57</v>
      </c>
      <c r="C26" s="142">
        <v>566.51</v>
      </c>
      <c r="D26" s="141" t="s">
        <v>178</v>
      </c>
      <c r="E26" s="57">
        <v>46202</v>
      </c>
      <c r="F26" s="128"/>
      <c r="G26" s="126"/>
      <c r="H26" s="126"/>
      <c r="I26" s="126"/>
    </row>
    <row r="27" spans="1:9" ht="15">
      <c r="A27" s="141" t="s">
        <v>147</v>
      </c>
      <c r="B27" s="141" t="s">
        <v>57</v>
      </c>
      <c r="C27" s="142">
        <v>578.92999999999995</v>
      </c>
      <c r="D27" s="141" t="s">
        <v>179</v>
      </c>
      <c r="E27" s="57">
        <v>46202</v>
      </c>
      <c r="F27" s="128">
        <v>46223</v>
      </c>
      <c r="G27" s="126" t="s">
        <v>18</v>
      </c>
      <c r="H27" s="126" t="s">
        <v>19</v>
      </c>
      <c r="I27" s="126"/>
    </row>
    <row r="28" spans="1:9" ht="15">
      <c r="A28" s="126" t="s">
        <v>53</v>
      </c>
      <c r="B28" s="126" t="s">
        <v>45</v>
      </c>
      <c r="C28" s="36">
        <v>2074.63</v>
      </c>
      <c r="D28" s="126" t="s">
        <v>17</v>
      </c>
      <c r="E28" s="57">
        <v>46202</v>
      </c>
      <c r="F28" s="54">
        <v>46198</v>
      </c>
      <c r="G28" s="14" t="s">
        <v>18</v>
      </c>
      <c r="H28" s="126" t="s">
        <v>19</v>
      </c>
      <c r="I28" s="126" t="s">
        <v>175</v>
      </c>
    </row>
    <row r="29" spans="1:9" ht="15">
      <c r="A29" s="126" t="s">
        <v>55</v>
      </c>
      <c r="B29" s="126" t="s">
        <v>43</v>
      </c>
      <c r="C29" s="36">
        <v>507</v>
      </c>
      <c r="D29" s="126" t="s">
        <v>22</v>
      </c>
      <c r="E29" s="57">
        <v>46203</v>
      </c>
      <c r="F29" s="19"/>
      <c r="G29" s="14"/>
      <c r="H29" s="126"/>
      <c r="I29" s="126"/>
    </row>
    <row r="30" spans="1:9" ht="15">
      <c r="A30" s="22" t="s">
        <v>56</v>
      </c>
      <c r="B30" s="22" t="s">
        <v>57</v>
      </c>
      <c r="C30" s="38">
        <v>179.51</v>
      </c>
      <c r="D30" s="22" t="s">
        <v>22</v>
      </c>
      <c r="E30" s="57">
        <v>46203</v>
      </c>
      <c r="F30" s="24"/>
      <c r="G30" s="25"/>
      <c r="H30" s="126"/>
      <c r="I30" s="129"/>
    </row>
    <row r="31" spans="1:9" ht="15">
      <c r="A31" s="18" t="s">
        <v>59</v>
      </c>
      <c r="B31" s="18" t="s">
        <v>60</v>
      </c>
      <c r="C31" s="36">
        <v>1200</v>
      </c>
      <c r="D31" s="18" t="s">
        <v>17</v>
      </c>
      <c r="E31" s="57">
        <v>46203</v>
      </c>
      <c r="F31" s="19"/>
      <c r="G31" s="14"/>
      <c r="H31" s="126" t="s">
        <v>19</v>
      </c>
      <c r="I31" s="126"/>
    </row>
    <row r="32" spans="1:9" ht="15">
      <c r="A32" s="22" t="s">
        <v>61</v>
      </c>
      <c r="B32" s="22" t="s">
        <v>62</v>
      </c>
      <c r="C32" s="38">
        <v>1000</v>
      </c>
      <c r="D32" s="22" t="s">
        <v>17</v>
      </c>
      <c r="E32" s="132">
        <v>46203</v>
      </c>
      <c r="F32" s="24"/>
      <c r="G32" s="25"/>
      <c r="H32" s="129" t="s">
        <v>19</v>
      </c>
      <c r="I32" s="129"/>
    </row>
    <row r="33" spans="1:9" ht="15">
      <c r="A33" s="22" t="s">
        <v>63</v>
      </c>
      <c r="B33" s="22"/>
      <c r="C33" s="38">
        <v>2000</v>
      </c>
      <c r="D33" s="22" t="s">
        <v>22</v>
      </c>
      <c r="E33" s="132">
        <v>46203</v>
      </c>
      <c r="F33" s="129"/>
      <c r="G33" s="129"/>
      <c r="H33" s="129" t="s">
        <v>19</v>
      </c>
      <c r="I33" s="129"/>
    </row>
    <row r="34" spans="1:9" ht="15">
      <c r="A34" s="51" t="s">
        <v>180</v>
      </c>
      <c r="B34" s="51" t="s">
        <v>21</v>
      </c>
      <c r="C34" s="52">
        <v>59</v>
      </c>
      <c r="D34" s="51" t="s">
        <v>68</v>
      </c>
      <c r="E34" s="51"/>
      <c r="F34" s="53">
        <v>46175</v>
      </c>
      <c r="G34" s="51" t="s">
        <v>18</v>
      </c>
      <c r="H34" s="51" t="s">
        <v>19</v>
      </c>
      <c r="I34" s="51"/>
    </row>
    <row r="35" spans="1:9">
      <c r="A35" s="51" t="s">
        <v>181</v>
      </c>
      <c r="B35" s="51" t="s">
        <v>163</v>
      </c>
      <c r="C35" s="52">
        <v>239</v>
      </c>
      <c r="D35" s="51" t="s">
        <v>68</v>
      </c>
      <c r="E35" s="51"/>
      <c r="F35" s="53">
        <v>46176</v>
      </c>
      <c r="G35" s="51" t="s">
        <v>18</v>
      </c>
      <c r="H35" s="51" t="s">
        <v>19</v>
      </c>
      <c r="I35" s="51"/>
    </row>
    <row r="36" spans="1:9">
      <c r="A36" s="47" t="s">
        <v>182</v>
      </c>
      <c r="B36" s="47" t="s">
        <v>183</v>
      </c>
      <c r="C36" s="48">
        <v>3690</v>
      </c>
      <c r="D36" s="47" t="s">
        <v>68</v>
      </c>
      <c r="E36" s="47"/>
      <c r="F36" s="49">
        <v>46184</v>
      </c>
      <c r="G36" s="47" t="s">
        <v>18</v>
      </c>
      <c r="H36" s="47" t="s">
        <v>19</v>
      </c>
      <c r="I36" s="47"/>
    </row>
    <row r="37" spans="1:9" ht="29.25">
      <c r="A37" s="47" t="s">
        <v>184</v>
      </c>
      <c r="B37" s="47" t="s">
        <v>21</v>
      </c>
      <c r="C37" s="48">
        <v>36</v>
      </c>
      <c r="D37" s="47" t="s">
        <v>68</v>
      </c>
      <c r="E37" s="47"/>
      <c r="F37" s="49">
        <v>46188</v>
      </c>
      <c r="G37" s="138" t="s">
        <v>172</v>
      </c>
      <c r="H37" s="47" t="s">
        <v>19</v>
      </c>
      <c r="I37" s="47"/>
    </row>
    <row r="38" spans="1:9">
      <c r="A38" s="47" t="s">
        <v>185</v>
      </c>
      <c r="B38" s="47" t="s">
        <v>186</v>
      </c>
      <c r="C38" s="48">
        <v>133</v>
      </c>
      <c r="D38" s="47" t="s">
        <v>68</v>
      </c>
      <c r="E38" s="47"/>
      <c r="F38" s="49">
        <v>46188</v>
      </c>
      <c r="G38" s="47" t="s">
        <v>18</v>
      </c>
      <c r="H38" s="47" t="s">
        <v>19</v>
      </c>
      <c r="I38" s="47"/>
    </row>
    <row r="39" spans="1:9" ht="29.25">
      <c r="A39" s="138" t="s">
        <v>187</v>
      </c>
      <c r="B39" s="47" t="s">
        <v>65</v>
      </c>
      <c r="C39" s="48">
        <v>538</v>
      </c>
      <c r="D39" s="47" t="s">
        <v>68</v>
      </c>
      <c r="E39" s="47" t="s">
        <v>188</v>
      </c>
      <c r="F39" s="49">
        <v>46191</v>
      </c>
      <c r="G39" s="47" t="s">
        <v>18</v>
      </c>
      <c r="H39" s="47" t="s">
        <v>19</v>
      </c>
      <c r="I39" s="47"/>
    </row>
    <row r="40" spans="1:9">
      <c r="A40" s="47" t="s">
        <v>189</v>
      </c>
      <c r="B40" s="47" t="s">
        <v>108</v>
      </c>
      <c r="C40" s="48">
        <v>100</v>
      </c>
      <c r="D40" s="47" t="s">
        <v>68</v>
      </c>
      <c r="E40" s="47"/>
      <c r="F40" s="49">
        <v>46191</v>
      </c>
      <c r="G40" s="47" t="s">
        <v>18</v>
      </c>
      <c r="H40" s="47" t="s">
        <v>19</v>
      </c>
      <c r="I40" s="47"/>
    </row>
    <row r="41" spans="1:9">
      <c r="A41" s="51" t="s">
        <v>190</v>
      </c>
      <c r="B41" s="51" t="s">
        <v>21</v>
      </c>
      <c r="C41" s="52">
        <v>509</v>
      </c>
      <c r="D41" s="51" t="s">
        <v>68</v>
      </c>
      <c r="E41" s="51"/>
      <c r="F41" s="53">
        <v>46191</v>
      </c>
      <c r="G41" s="51" t="s">
        <v>18</v>
      </c>
      <c r="H41" s="51" t="s">
        <v>19</v>
      </c>
      <c r="I41" s="51" t="s">
        <v>191</v>
      </c>
    </row>
    <row r="42" spans="1:9" ht="29.25">
      <c r="A42" s="51" t="s">
        <v>192</v>
      </c>
      <c r="B42" s="51" t="s">
        <v>36</v>
      </c>
      <c r="C42" s="52">
        <v>200</v>
      </c>
      <c r="D42" s="51" t="s">
        <v>68</v>
      </c>
      <c r="E42" s="51"/>
      <c r="F42" s="53">
        <v>46192</v>
      </c>
      <c r="G42" s="50" t="s">
        <v>172</v>
      </c>
      <c r="H42" s="51" t="s">
        <v>19</v>
      </c>
      <c r="I42" s="51"/>
    </row>
    <row r="43" spans="1:9" ht="29.25">
      <c r="A43" s="47" t="s">
        <v>193</v>
      </c>
      <c r="B43" s="47" t="s">
        <v>21</v>
      </c>
      <c r="C43" s="48">
        <v>36</v>
      </c>
      <c r="D43" s="47" t="s">
        <v>68</v>
      </c>
      <c r="E43" s="47"/>
      <c r="F43" s="49">
        <v>46196</v>
      </c>
      <c r="G43" s="138" t="s">
        <v>172</v>
      </c>
      <c r="H43" s="47" t="s">
        <v>19</v>
      </c>
      <c r="I43" s="47"/>
    </row>
    <row r="44" spans="1:9">
      <c r="A44" s="47" t="s">
        <v>194</v>
      </c>
      <c r="B44" s="47" t="s">
        <v>21</v>
      </c>
      <c r="C44" s="48">
        <v>178</v>
      </c>
      <c r="D44" s="47" t="s">
        <v>68</v>
      </c>
      <c r="E44" s="47"/>
      <c r="F44" s="49">
        <v>46199</v>
      </c>
      <c r="G44" s="47" t="s">
        <v>18</v>
      </c>
      <c r="H44" s="47" t="s">
        <v>19</v>
      </c>
      <c r="I44" s="47"/>
    </row>
    <row r="45" spans="1:9">
      <c r="A45" s="47" t="s">
        <v>195</v>
      </c>
      <c r="B45" s="47" t="s">
        <v>117</v>
      </c>
      <c r="C45" s="48">
        <v>40</v>
      </c>
      <c r="D45" s="47" t="s">
        <v>68</v>
      </c>
      <c r="E45" s="47"/>
      <c r="F45" s="47"/>
      <c r="G45" s="47"/>
      <c r="H45" s="47"/>
      <c r="I45" s="47"/>
    </row>
    <row r="46" spans="1:9" ht="29.25">
      <c r="A46" s="47" t="s">
        <v>196</v>
      </c>
      <c r="B46" s="47" t="s">
        <v>57</v>
      </c>
      <c r="C46" s="48">
        <v>460.84</v>
      </c>
      <c r="D46" s="47" t="s">
        <v>197</v>
      </c>
      <c r="E46" s="47"/>
      <c r="F46" s="49">
        <v>46199</v>
      </c>
      <c r="G46" s="138" t="s">
        <v>172</v>
      </c>
      <c r="H46" s="47" t="s">
        <v>19</v>
      </c>
      <c r="I46" s="47"/>
    </row>
    <row r="47" spans="1:9" ht="29.25">
      <c r="A47" s="47" t="s">
        <v>196</v>
      </c>
      <c r="B47" s="47" t="s">
        <v>57</v>
      </c>
      <c r="C47" s="48">
        <v>313.61</v>
      </c>
      <c r="D47" s="47" t="s">
        <v>197</v>
      </c>
      <c r="E47" s="47"/>
      <c r="F47" s="49">
        <v>46199</v>
      </c>
      <c r="G47" s="138" t="s">
        <v>172</v>
      </c>
      <c r="H47" s="47" t="s">
        <v>19</v>
      </c>
      <c r="I47" s="47"/>
    </row>
    <row r="48" spans="1:9" ht="29.25">
      <c r="A48" s="47" t="s">
        <v>196</v>
      </c>
      <c r="B48" s="47" t="s">
        <v>57</v>
      </c>
      <c r="C48" s="48">
        <v>2978.7</v>
      </c>
      <c r="D48" s="47" t="s">
        <v>148</v>
      </c>
      <c r="E48" s="47"/>
      <c r="F48" s="49">
        <v>46199</v>
      </c>
      <c r="G48" s="138" t="s">
        <v>172</v>
      </c>
      <c r="H48" s="47" t="s">
        <v>19</v>
      </c>
      <c r="I48" s="47"/>
    </row>
    <row r="49" spans="1:9">
      <c r="A49" s="47" t="s">
        <v>198</v>
      </c>
      <c r="B49" s="47" t="s">
        <v>21</v>
      </c>
      <c r="C49" s="48">
        <v>500</v>
      </c>
      <c r="D49" s="47" t="s">
        <v>68</v>
      </c>
      <c r="E49" s="47"/>
      <c r="F49" s="49">
        <v>46200</v>
      </c>
      <c r="G49" s="47" t="s">
        <v>18</v>
      </c>
      <c r="H49" s="47" t="s">
        <v>19</v>
      </c>
      <c r="I49" s="47"/>
    </row>
  </sheetData>
  <conditionalFormatting sqref="A28:D28 E24:I28 A29:I33 A6:I23">
    <cfRule type="expression" dxfId="14" priority="4">
      <formula>AND($E6&lt;TODAY(),$H6&lt;&gt;"PAGO")</formula>
    </cfRule>
    <cfRule type="expression" dxfId="13" priority="5">
      <formula>$H6="pago"</formula>
    </cfRule>
  </conditionalFormatting>
  <conditionalFormatting sqref="A8:I8 H9:H33">
    <cfRule type="expression" dxfId="12" priority="6">
      <formula>$H8="pago"</formula>
    </cfRule>
  </conditionalFormatting>
  <conditionalFormatting sqref="F9:F11">
    <cfRule type="expression" dxfId="11" priority="3">
      <formula>$H9="pago"</formula>
    </cfRule>
  </conditionalFormatting>
  <conditionalFormatting sqref="F9:F11">
    <cfRule type="expression" dxfId="10" priority="2">
      <formula>$H9="pago"</formula>
    </cfRule>
  </conditionalFormatting>
  <conditionalFormatting sqref="F9:F11">
    <cfRule type="expression" dxfId="9" priority="1">
      <formula>$H9="pago"</formula>
    </cfRule>
  </conditionalFormatting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31C61-A320-486B-895F-500902DD9E5B}">
  <dimension ref="A1:I51"/>
  <sheetViews>
    <sheetView tabSelected="1" topLeftCell="A3" workbookViewId="0">
      <selection activeCell="F52" sqref="F52"/>
    </sheetView>
  </sheetViews>
  <sheetFormatPr defaultRowHeight="13.9"/>
  <cols>
    <col min="1" max="1" width="43.140625" customWidth="1"/>
    <col min="2" max="2" width="21.5703125" customWidth="1"/>
    <col min="3" max="3" width="15.5703125" style="154" customWidth="1"/>
    <col min="4" max="4" width="16.85546875" customWidth="1"/>
    <col min="5" max="5" width="15.7109375" customWidth="1"/>
    <col min="6" max="6" width="18.28515625" customWidth="1"/>
    <col min="7" max="7" width="20.5703125" customWidth="1"/>
    <col min="9" max="9" width="30.42578125" customWidth="1"/>
  </cols>
  <sheetData>
    <row r="1" spans="1:9" ht="40.5" customHeight="1">
      <c r="A1" s="56" t="s">
        <v>199</v>
      </c>
      <c r="B1" s="75"/>
      <c r="C1" s="146" t="s">
        <v>1</v>
      </c>
      <c r="D1" s="2" t="s">
        <v>2</v>
      </c>
      <c r="E1" s="3" t="s">
        <v>3</v>
      </c>
      <c r="F1" s="76" t="s">
        <v>4</v>
      </c>
      <c r="G1" s="5" t="s">
        <v>5</v>
      </c>
      <c r="H1" s="75"/>
      <c r="I1" s="75"/>
    </row>
    <row r="2" spans="1:9" ht="24">
      <c r="A2" s="6" t="s">
        <v>74</v>
      </c>
      <c r="B2" s="1"/>
      <c r="C2" s="146">
        <f>SUM(C5:C29)</f>
        <v>21614.92</v>
      </c>
      <c r="D2" s="41">
        <f>SUM(C6:C29)</f>
        <v>21353.279999999995</v>
      </c>
      <c r="E2" s="156">
        <f>SUM(C6:C7,C10:C20,C23,C24,C36:C50)</f>
        <v>28674.13</v>
      </c>
      <c r="F2" s="69"/>
      <c r="G2" s="42"/>
      <c r="H2" s="1"/>
      <c r="I2" s="8">
        <v>46141</v>
      </c>
    </row>
    <row r="3" spans="1:9" ht="15">
      <c r="A3" s="1"/>
      <c r="B3" s="1"/>
      <c r="C3" s="147"/>
      <c r="D3" s="1"/>
      <c r="E3" s="1"/>
      <c r="F3" s="1"/>
      <c r="G3" s="1"/>
      <c r="H3" s="1"/>
      <c r="I3" s="1"/>
    </row>
    <row r="4" spans="1:9" ht="29.25">
      <c r="A4" s="120" t="s">
        <v>6</v>
      </c>
      <c r="B4" s="85" t="s">
        <v>7</v>
      </c>
      <c r="C4" s="148" t="s">
        <v>8</v>
      </c>
      <c r="D4" s="85" t="s">
        <v>9</v>
      </c>
      <c r="E4" s="85" t="s">
        <v>10</v>
      </c>
      <c r="F4" s="85" t="s">
        <v>11</v>
      </c>
      <c r="G4" s="85" t="s">
        <v>12</v>
      </c>
      <c r="H4" s="85" t="s">
        <v>13</v>
      </c>
      <c r="I4" s="122" t="s">
        <v>14</v>
      </c>
    </row>
    <row r="5" spans="1:9">
      <c r="A5" s="47" t="s">
        <v>156</v>
      </c>
      <c r="B5" s="47" t="s">
        <v>157</v>
      </c>
      <c r="C5" s="155">
        <v>261.64</v>
      </c>
      <c r="D5" s="47" t="s">
        <v>200</v>
      </c>
      <c r="E5" s="49">
        <v>46301</v>
      </c>
      <c r="F5" s="49">
        <v>46234</v>
      </c>
      <c r="G5" s="47" t="s">
        <v>201</v>
      </c>
      <c r="H5" s="47" t="s">
        <v>19</v>
      </c>
      <c r="I5" s="47"/>
    </row>
    <row r="6" spans="1:9" ht="15">
      <c r="A6" s="27" t="s">
        <v>15</v>
      </c>
      <c r="B6" s="27" t="s">
        <v>16</v>
      </c>
      <c r="C6" s="149">
        <v>1900</v>
      </c>
      <c r="D6" s="27" t="s">
        <v>17</v>
      </c>
      <c r="E6" s="28">
        <v>46210</v>
      </c>
      <c r="F6" s="124">
        <v>46211</v>
      </c>
      <c r="G6" s="125" t="s">
        <v>18</v>
      </c>
      <c r="H6" s="125" t="s">
        <v>19</v>
      </c>
      <c r="I6" s="125"/>
    </row>
    <row r="7" spans="1:9" ht="15">
      <c r="A7" s="27" t="s">
        <v>20</v>
      </c>
      <c r="B7" s="27" t="s">
        <v>21</v>
      </c>
      <c r="C7" s="149">
        <v>1250</v>
      </c>
      <c r="D7" s="27" t="s">
        <v>22</v>
      </c>
      <c r="E7" s="28">
        <v>46210</v>
      </c>
      <c r="F7" s="124">
        <v>46210</v>
      </c>
      <c r="G7" s="125" t="s">
        <v>18</v>
      </c>
      <c r="H7" s="125" t="s">
        <v>19</v>
      </c>
      <c r="I7" s="125"/>
    </row>
    <row r="8" spans="1:9" ht="15">
      <c r="A8" s="126" t="s">
        <v>23</v>
      </c>
      <c r="B8" s="126" t="s">
        <v>24</v>
      </c>
      <c r="C8" s="150">
        <v>850.93</v>
      </c>
      <c r="D8" s="126" t="s">
        <v>22</v>
      </c>
      <c r="E8" s="128">
        <v>46213</v>
      </c>
      <c r="F8" s="128"/>
      <c r="G8" s="125"/>
      <c r="H8" s="126"/>
      <c r="I8" s="126"/>
    </row>
    <row r="9" spans="1:9" ht="15">
      <c r="A9" s="18" t="s">
        <v>26</v>
      </c>
      <c r="B9" s="18" t="s">
        <v>24</v>
      </c>
      <c r="C9" s="151">
        <v>590.72</v>
      </c>
      <c r="D9" s="18" t="s">
        <v>17</v>
      </c>
      <c r="E9" s="15">
        <v>46213</v>
      </c>
      <c r="F9" s="130"/>
      <c r="G9" s="125"/>
      <c r="H9" s="126"/>
      <c r="I9" s="36"/>
    </row>
    <row r="10" spans="1:9" ht="15">
      <c r="A10" s="18" t="s">
        <v>28</v>
      </c>
      <c r="B10" s="18" t="s">
        <v>24</v>
      </c>
      <c r="C10" s="151">
        <v>490.68</v>
      </c>
      <c r="D10" s="18" t="s">
        <v>17</v>
      </c>
      <c r="E10" s="15">
        <v>46213</v>
      </c>
      <c r="F10" s="139">
        <v>46227</v>
      </c>
      <c r="G10" s="145" t="s">
        <v>18</v>
      </c>
      <c r="H10" s="126" t="s">
        <v>19</v>
      </c>
      <c r="I10" s="126"/>
    </row>
    <row r="11" spans="1:9" ht="15">
      <c r="A11" s="18" t="s">
        <v>30</v>
      </c>
      <c r="B11" s="18" t="s">
        <v>24</v>
      </c>
      <c r="C11" s="151">
        <v>329.61</v>
      </c>
      <c r="D11" s="18" t="s">
        <v>17</v>
      </c>
      <c r="E11" s="15">
        <v>46213</v>
      </c>
      <c r="F11" s="139">
        <v>46227</v>
      </c>
      <c r="G11" s="145" t="s">
        <v>18</v>
      </c>
      <c r="H11" s="126" t="s">
        <v>19</v>
      </c>
      <c r="I11" s="126"/>
    </row>
    <row r="12" spans="1:9" ht="15">
      <c r="A12" s="18" t="s">
        <v>32</v>
      </c>
      <c r="B12" s="18" t="s">
        <v>33</v>
      </c>
      <c r="C12" s="151">
        <v>502.93</v>
      </c>
      <c r="D12" s="18" t="s">
        <v>22</v>
      </c>
      <c r="E12" s="15">
        <v>46213</v>
      </c>
      <c r="F12" s="144">
        <v>46220</v>
      </c>
      <c r="G12" s="14" t="s">
        <v>18</v>
      </c>
      <c r="H12" s="126" t="s">
        <v>19</v>
      </c>
      <c r="I12" s="126"/>
    </row>
    <row r="13" spans="1:9" ht="15">
      <c r="A13" s="14" t="s">
        <v>35</v>
      </c>
      <c r="B13" s="14" t="s">
        <v>36</v>
      </c>
      <c r="C13" s="151">
        <v>413.33</v>
      </c>
      <c r="D13" s="14" t="s">
        <v>17</v>
      </c>
      <c r="E13" s="15">
        <v>46213</v>
      </c>
      <c r="F13" s="128">
        <v>46217</v>
      </c>
      <c r="G13" s="126" t="s">
        <v>18</v>
      </c>
      <c r="H13" s="126" t="s">
        <v>19</v>
      </c>
      <c r="I13" s="126"/>
    </row>
    <row r="14" spans="1:9" ht="15">
      <c r="A14" s="14" t="s">
        <v>35</v>
      </c>
      <c r="B14" s="14" t="s">
        <v>36</v>
      </c>
      <c r="C14" s="151">
        <v>206</v>
      </c>
      <c r="D14" s="14" t="s">
        <v>17</v>
      </c>
      <c r="E14" s="15">
        <v>46213</v>
      </c>
      <c r="F14" s="128">
        <v>46216</v>
      </c>
      <c r="G14" s="126" t="s">
        <v>18</v>
      </c>
      <c r="H14" s="126" t="s">
        <v>19</v>
      </c>
      <c r="I14" s="126"/>
    </row>
    <row r="15" spans="1:9" ht="15">
      <c r="A15" s="14" t="s">
        <v>42</v>
      </c>
      <c r="B15" s="126" t="s">
        <v>43</v>
      </c>
      <c r="C15" s="151">
        <v>488</v>
      </c>
      <c r="D15" s="14" t="s">
        <v>17</v>
      </c>
      <c r="E15" s="15">
        <v>46213</v>
      </c>
      <c r="F15" s="128">
        <v>46223</v>
      </c>
      <c r="G15" s="20" t="s">
        <v>18</v>
      </c>
      <c r="H15" s="126" t="s">
        <v>19</v>
      </c>
      <c r="I15" s="126" t="s">
        <v>202</v>
      </c>
    </row>
    <row r="16" spans="1:9" ht="15">
      <c r="A16" s="18" t="s">
        <v>44</v>
      </c>
      <c r="B16" s="18" t="s">
        <v>45</v>
      </c>
      <c r="C16" s="151">
        <v>264.89999999999998</v>
      </c>
      <c r="D16" s="18" t="s">
        <v>22</v>
      </c>
      <c r="E16" s="15">
        <v>46215</v>
      </c>
      <c r="F16" s="128">
        <v>46216</v>
      </c>
      <c r="G16" s="126" t="s">
        <v>18</v>
      </c>
      <c r="H16" s="126" t="s">
        <v>19</v>
      </c>
      <c r="I16" s="126"/>
    </row>
    <row r="17" spans="1:9" ht="15">
      <c r="A17" s="126" t="s">
        <v>46</v>
      </c>
      <c r="B17" s="126" t="s">
        <v>21</v>
      </c>
      <c r="C17" s="151">
        <v>35</v>
      </c>
      <c r="D17" s="126" t="s">
        <v>22</v>
      </c>
      <c r="E17" s="15">
        <v>46219</v>
      </c>
      <c r="F17" s="128">
        <v>46223</v>
      </c>
      <c r="G17" s="20" t="s">
        <v>18</v>
      </c>
      <c r="H17" s="126" t="s">
        <v>19</v>
      </c>
      <c r="I17" s="126"/>
    </row>
    <row r="18" spans="1:9" ht="15">
      <c r="A18" s="126" t="s">
        <v>47</v>
      </c>
      <c r="B18" s="126" t="s">
        <v>43</v>
      </c>
      <c r="C18" s="151">
        <v>1464</v>
      </c>
      <c r="D18" s="126" t="s">
        <v>22</v>
      </c>
      <c r="E18" s="15">
        <v>46223</v>
      </c>
      <c r="F18" s="128">
        <v>46223</v>
      </c>
      <c r="G18" s="126" t="s">
        <v>18</v>
      </c>
      <c r="H18" s="126" t="s">
        <v>19</v>
      </c>
      <c r="I18" s="126" t="s">
        <v>202</v>
      </c>
    </row>
    <row r="19" spans="1:9" ht="15">
      <c r="A19" s="14" t="s">
        <v>48</v>
      </c>
      <c r="B19" s="14" t="s">
        <v>21</v>
      </c>
      <c r="C19" s="151">
        <v>1250</v>
      </c>
      <c r="D19" s="14" t="s">
        <v>17</v>
      </c>
      <c r="E19" s="15">
        <v>46225</v>
      </c>
      <c r="F19" s="128">
        <v>46225</v>
      </c>
      <c r="G19" s="20" t="s">
        <v>18</v>
      </c>
      <c r="H19" s="126" t="s">
        <v>19</v>
      </c>
      <c r="I19" s="126"/>
    </row>
    <row r="20" spans="1:9" ht="15">
      <c r="A20" s="14" t="s">
        <v>49</v>
      </c>
      <c r="B20" s="14" t="s">
        <v>16</v>
      </c>
      <c r="C20" s="151">
        <v>1900</v>
      </c>
      <c r="D20" s="14" t="s">
        <v>17</v>
      </c>
      <c r="E20" s="15">
        <v>46225</v>
      </c>
      <c r="F20" s="128">
        <v>46225</v>
      </c>
      <c r="G20" s="20" t="s">
        <v>18</v>
      </c>
      <c r="H20" s="126" t="s">
        <v>19</v>
      </c>
      <c r="I20" s="126"/>
    </row>
    <row r="21" spans="1:9" ht="15">
      <c r="A21" s="14" t="s">
        <v>50</v>
      </c>
      <c r="B21" s="14" t="s">
        <v>21</v>
      </c>
      <c r="C21" s="151">
        <v>69.349999999999994</v>
      </c>
      <c r="D21" s="14" t="s">
        <v>17</v>
      </c>
      <c r="E21" s="15">
        <v>46228</v>
      </c>
      <c r="F21" s="128"/>
      <c r="G21" s="20"/>
      <c r="H21" s="126"/>
      <c r="I21" s="126"/>
    </row>
    <row r="22" spans="1:9" ht="15">
      <c r="A22" s="14" t="s">
        <v>174</v>
      </c>
      <c r="B22" s="14" t="s">
        <v>21</v>
      </c>
      <c r="C22" s="151">
        <v>44.83</v>
      </c>
      <c r="D22" s="14" t="s">
        <v>17</v>
      </c>
      <c r="E22" s="15">
        <v>46228</v>
      </c>
      <c r="F22" s="128"/>
      <c r="G22" s="20"/>
      <c r="H22" s="126"/>
      <c r="I22" s="126"/>
    </row>
    <row r="23" spans="1:9" ht="15">
      <c r="A23" s="126" t="s">
        <v>51</v>
      </c>
      <c r="B23" s="126" t="s">
        <v>43</v>
      </c>
      <c r="C23" s="151">
        <v>2260</v>
      </c>
      <c r="D23" s="126" t="s">
        <v>17</v>
      </c>
      <c r="E23" s="57">
        <v>46229</v>
      </c>
      <c r="F23" s="128">
        <v>46223</v>
      </c>
      <c r="G23" s="126" t="s">
        <v>18</v>
      </c>
      <c r="H23" s="126" t="s">
        <v>19</v>
      </c>
      <c r="I23" s="126" t="s">
        <v>203</v>
      </c>
    </row>
    <row r="24" spans="1:9" ht="15">
      <c r="A24" s="126" t="s">
        <v>53</v>
      </c>
      <c r="B24" s="126" t="s">
        <v>45</v>
      </c>
      <c r="C24" s="151">
        <v>2156.4899999999998</v>
      </c>
      <c r="D24" s="126" t="s">
        <v>17</v>
      </c>
      <c r="E24" s="57">
        <v>46232</v>
      </c>
      <c r="F24" s="54">
        <v>46225</v>
      </c>
      <c r="G24" s="14" t="s">
        <v>18</v>
      </c>
      <c r="H24" s="126" t="s">
        <v>19</v>
      </c>
      <c r="I24" s="126" t="s">
        <v>204</v>
      </c>
    </row>
    <row r="25" spans="1:9" ht="15">
      <c r="A25" s="126" t="s">
        <v>55</v>
      </c>
      <c r="B25" s="126" t="s">
        <v>43</v>
      </c>
      <c r="C25" s="151">
        <v>507</v>
      </c>
      <c r="D25" s="126" t="s">
        <v>22</v>
      </c>
      <c r="E25" s="57">
        <v>46233</v>
      </c>
      <c r="F25" s="19"/>
      <c r="G25" s="14"/>
      <c r="H25" s="126"/>
      <c r="I25" s="126"/>
    </row>
    <row r="26" spans="1:9" ht="15">
      <c r="A26" s="22" t="s">
        <v>56</v>
      </c>
      <c r="B26" s="22" t="s">
        <v>57</v>
      </c>
      <c r="C26" s="152">
        <v>179.51</v>
      </c>
      <c r="D26" s="22" t="s">
        <v>22</v>
      </c>
      <c r="E26" s="57">
        <v>46233</v>
      </c>
      <c r="F26" s="24"/>
      <c r="G26" s="25"/>
      <c r="H26" s="126"/>
      <c r="I26" s="129"/>
    </row>
    <row r="27" spans="1:9" ht="15">
      <c r="A27" s="18" t="s">
        <v>59</v>
      </c>
      <c r="B27" s="18" t="s">
        <v>60</v>
      </c>
      <c r="C27" s="151">
        <v>1200</v>
      </c>
      <c r="D27" s="18" t="s">
        <v>17</v>
      </c>
      <c r="E27" s="57">
        <v>46233</v>
      </c>
      <c r="F27" s="19"/>
      <c r="G27" s="14"/>
      <c r="H27" s="126" t="s">
        <v>19</v>
      </c>
      <c r="I27" s="126"/>
    </row>
    <row r="28" spans="1:9" ht="15">
      <c r="A28" s="22" t="s">
        <v>61</v>
      </c>
      <c r="B28" s="22" t="s">
        <v>62</v>
      </c>
      <c r="C28" s="152">
        <v>1000</v>
      </c>
      <c r="D28" s="22" t="s">
        <v>17</v>
      </c>
      <c r="E28" s="132">
        <v>46233</v>
      </c>
      <c r="F28" s="24"/>
      <c r="G28" s="25"/>
      <c r="H28" s="129" t="s">
        <v>19</v>
      </c>
      <c r="I28" s="129"/>
    </row>
    <row r="29" spans="1:9" ht="15">
      <c r="A29" s="22" t="s">
        <v>63</v>
      </c>
      <c r="B29" s="22"/>
      <c r="C29" s="152">
        <v>2000</v>
      </c>
      <c r="D29" s="22" t="s">
        <v>22</v>
      </c>
      <c r="E29" s="132">
        <v>46233</v>
      </c>
      <c r="F29" s="129"/>
      <c r="G29" s="129"/>
      <c r="H29" s="129"/>
      <c r="I29" s="129"/>
    </row>
    <row r="30" spans="1:9" ht="15">
      <c r="A30" s="157" t="s">
        <v>205</v>
      </c>
      <c r="B30" s="18" t="s">
        <v>57</v>
      </c>
      <c r="C30" s="158">
        <v>578.53</v>
      </c>
      <c r="D30" s="22" t="s">
        <v>206</v>
      </c>
      <c r="E30" s="132">
        <v>46234</v>
      </c>
      <c r="F30" s="159">
        <v>46234</v>
      </c>
      <c r="G30" s="129" t="s">
        <v>201</v>
      </c>
      <c r="H30" s="129" t="s">
        <v>19</v>
      </c>
      <c r="I30" s="129"/>
    </row>
    <row r="31" spans="1:9" ht="15">
      <c r="A31" s="22" t="s">
        <v>207</v>
      </c>
      <c r="B31" s="160" t="s">
        <v>208</v>
      </c>
      <c r="C31" s="152">
        <v>1248.1199999999999</v>
      </c>
      <c r="D31" s="22" t="s">
        <v>209</v>
      </c>
      <c r="E31" s="132">
        <v>46234</v>
      </c>
      <c r="F31" s="159">
        <v>46234</v>
      </c>
      <c r="G31" s="129" t="s">
        <v>201</v>
      </c>
      <c r="H31" s="129" t="s">
        <v>19</v>
      </c>
      <c r="I31" s="129"/>
    </row>
    <row r="32" spans="1:9" ht="15">
      <c r="A32" s="22" t="s">
        <v>207</v>
      </c>
      <c r="B32" s="22" t="s">
        <v>208</v>
      </c>
      <c r="C32" s="152">
        <v>559.89</v>
      </c>
      <c r="D32" s="22" t="s">
        <v>210</v>
      </c>
      <c r="E32" s="132">
        <v>46234</v>
      </c>
      <c r="F32" s="159">
        <v>46234</v>
      </c>
      <c r="G32" s="129" t="s">
        <v>201</v>
      </c>
      <c r="H32" s="129" t="s">
        <v>19</v>
      </c>
      <c r="I32" s="129"/>
    </row>
    <row r="33" spans="1:9" ht="15">
      <c r="A33" s="22" t="s">
        <v>211</v>
      </c>
      <c r="B33" s="22" t="s">
        <v>57</v>
      </c>
      <c r="C33" s="152">
        <v>316.75</v>
      </c>
      <c r="D33" s="22" t="s">
        <v>212</v>
      </c>
      <c r="E33" s="132">
        <v>46234</v>
      </c>
      <c r="F33" s="159">
        <v>46234</v>
      </c>
      <c r="G33" s="129" t="s">
        <v>201</v>
      </c>
      <c r="H33" s="129" t="s">
        <v>19</v>
      </c>
      <c r="I33" s="129"/>
    </row>
    <row r="34" spans="1:9" ht="15">
      <c r="A34" s="22" t="s">
        <v>211</v>
      </c>
      <c r="B34" s="22" t="s">
        <v>57</v>
      </c>
      <c r="C34" s="152">
        <v>465.45</v>
      </c>
      <c r="D34" s="22" t="s">
        <v>212</v>
      </c>
      <c r="E34" s="132">
        <v>46234</v>
      </c>
      <c r="F34" s="159">
        <v>46234</v>
      </c>
      <c r="G34" s="129" t="s">
        <v>201</v>
      </c>
      <c r="H34" s="129" t="s">
        <v>19</v>
      </c>
      <c r="I34" s="129"/>
    </row>
    <row r="35" spans="1:9" ht="15">
      <c r="A35" s="22" t="s">
        <v>211</v>
      </c>
      <c r="B35" s="22" t="s">
        <v>57</v>
      </c>
      <c r="C35" s="152">
        <v>3008.49</v>
      </c>
      <c r="D35" s="22" t="s">
        <v>213</v>
      </c>
      <c r="E35" s="132">
        <v>46234</v>
      </c>
      <c r="F35" s="159">
        <v>46234</v>
      </c>
      <c r="G35" s="129" t="s">
        <v>201</v>
      </c>
      <c r="H35" s="129" t="s">
        <v>19</v>
      </c>
      <c r="I35" s="129"/>
    </row>
    <row r="36" spans="1:9" ht="15">
      <c r="A36" s="51" t="s">
        <v>214</v>
      </c>
      <c r="B36" s="51" t="s">
        <v>108</v>
      </c>
      <c r="C36" s="153">
        <v>627</v>
      </c>
      <c r="D36" s="51" t="s">
        <v>68</v>
      </c>
      <c r="E36" s="51"/>
      <c r="F36" s="53">
        <v>46207</v>
      </c>
      <c r="G36" s="51" t="s">
        <v>18</v>
      </c>
      <c r="H36" s="51" t="s">
        <v>19</v>
      </c>
      <c r="I36" s="51"/>
    </row>
    <row r="37" spans="1:9">
      <c r="A37" s="51" t="s">
        <v>215</v>
      </c>
      <c r="B37" s="51" t="s">
        <v>216</v>
      </c>
      <c r="C37" s="153">
        <v>356.86</v>
      </c>
      <c r="D37" s="51" t="s">
        <v>68</v>
      </c>
      <c r="E37" s="51"/>
      <c r="F37" s="53">
        <v>46225</v>
      </c>
      <c r="G37" s="51" t="s">
        <v>18</v>
      </c>
      <c r="H37" s="51" t="s">
        <v>19</v>
      </c>
      <c r="I37" s="51"/>
    </row>
    <row r="38" spans="1:9" ht="15">
      <c r="A38" s="51" t="s">
        <v>217</v>
      </c>
      <c r="B38" s="51" t="s">
        <v>45</v>
      </c>
      <c r="C38" s="153">
        <v>60</v>
      </c>
      <c r="D38" s="51" t="s">
        <v>68</v>
      </c>
      <c r="E38" s="51"/>
      <c r="F38" s="53">
        <v>46218</v>
      </c>
      <c r="G38" s="51" t="s">
        <v>18</v>
      </c>
      <c r="H38" s="51" t="s">
        <v>19</v>
      </c>
      <c r="I38" s="51"/>
    </row>
    <row r="39" spans="1:9">
      <c r="A39" s="47" t="s">
        <v>218</v>
      </c>
      <c r="B39" s="47" t="s">
        <v>21</v>
      </c>
      <c r="C39" s="155">
        <v>114.93</v>
      </c>
      <c r="D39" s="47" t="s">
        <v>68</v>
      </c>
      <c r="E39" s="47"/>
      <c r="F39" s="49">
        <v>46218</v>
      </c>
      <c r="G39" s="47" t="s">
        <v>18</v>
      </c>
      <c r="H39" s="47" t="s">
        <v>19</v>
      </c>
      <c r="I39" s="47"/>
    </row>
    <row r="40" spans="1:9" ht="15">
      <c r="A40" s="47" t="s">
        <v>219</v>
      </c>
      <c r="B40" s="47" t="s">
        <v>21</v>
      </c>
      <c r="C40" s="155">
        <v>6999.99</v>
      </c>
      <c r="D40" s="47" t="s">
        <v>68</v>
      </c>
      <c r="E40" s="47"/>
      <c r="F40" s="49">
        <v>46219</v>
      </c>
      <c r="G40" s="47" t="s">
        <v>18</v>
      </c>
      <c r="H40" s="47" t="s">
        <v>19</v>
      </c>
      <c r="I40" s="47"/>
    </row>
    <row r="41" spans="1:9">
      <c r="A41" s="47" t="s">
        <v>220</v>
      </c>
      <c r="B41" s="47" t="s">
        <v>221</v>
      </c>
      <c r="C41" s="155">
        <v>500</v>
      </c>
      <c r="D41" s="47" t="s">
        <v>68</v>
      </c>
      <c r="E41" s="47"/>
      <c r="F41" s="49">
        <v>46220</v>
      </c>
      <c r="G41" s="47" t="s">
        <v>18</v>
      </c>
      <c r="H41" s="47" t="s">
        <v>19</v>
      </c>
      <c r="I41" s="47"/>
    </row>
    <row r="42" spans="1:9">
      <c r="A42" s="47" t="s">
        <v>222</v>
      </c>
      <c r="B42" s="47" t="s">
        <v>135</v>
      </c>
      <c r="C42" s="155">
        <v>350</v>
      </c>
      <c r="D42" s="47" t="s">
        <v>68</v>
      </c>
      <c r="E42" s="47"/>
      <c r="F42" s="49">
        <v>46220</v>
      </c>
      <c r="G42" s="47" t="s">
        <v>18</v>
      </c>
      <c r="H42" s="47" t="s">
        <v>19</v>
      </c>
      <c r="I42" s="47"/>
    </row>
    <row r="43" spans="1:9" ht="15">
      <c r="A43" s="47" t="s">
        <v>223</v>
      </c>
      <c r="B43" s="47" t="s">
        <v>108</v>
      </c>
      <c r="C43" s="155">
        <v>168.48</v>
      </c>
      <c r="D43" s="47" t="s">
        <v>68</v>
      </c>
      <c r="E43" s="47"/>
      <c r="F43" s="49">
        <v>46220</v>
      </c>
      <c r="G43" s="47" t="s">
        <v>18</v>
      </c>
      <c r="H43" s="47" t="s">
        <v>19</v>
      </c>
      <c r="I43" s="47"/>
    </row>
    <row r="44" spans="1:9" ht="15">
      <c r="A44" s="51" t="s">
        <v>224</v>
      </c>
      <c r="B44" s="51" t="s">
        <v>21</v>
      </c>
      <c r="C44" s="153">
        <v>350</v>
      </c>
      <c r="D44" s="51" t="s">
        <v>68</v>
      </c>
      <c r="E44" s="51"/>
      <c r="F44" s="53">
        <v>46220</v>
      </c>
      <c r="G44" s="51" t="s">
        <v>18</v>
      </c>
      <c r="H44" s="51" t="s">
        <v>19</v>
      </c>
      <c r="I44" s="51"/>
    </row>
    <row r="45" spans="1:9">
      <c r="A45" s="47" t="s">
        <v>225</v>
      </c>
      <c r="B45" s="47" t="s">
        <v>108</v>
      </c>
      <c r="C45" s="155">
        <v>2148</v>
      </c>
      <c r="D45" s="47" t="s">
        <v>68</v>
      </c>
      <c r="E45" s="47"/>
      <c r="F45" s="49">
        <v>46225</v>
      </c>
      <c r="G45" s="47" t="s">
        <v>18</v>
      </c>
      <c r="H45" s="47" t="s">
        <v>19</v>
      </c>
      <c r="I45" s="47"/>
    </row>
    <row r="46" spans="1:9">
      <c r="A46" s="47" t="s">
        <v>226</v>
      </c>
      <c r="B46" s="47" t="s">
        <v>21</v>
      </c>
      <c r="C46" s="155">
        <v>1050</v>
      </c>
      <c r="D46" s="49" t="s">
        <v>22</v>
      </c>
      <c r="E46" s="49">
        <v>46225</v>
      </c>
      <c r="F46" s="49">
        <v>46225</v>
      </c>
      <c r="G46" s="47" t="s">
        <v>18</v>
      </c>
      <c r="H46" s="47" t="s">
        <v>19</v>
      </c>
      <c r="I46" s="47"/>
    </row>
    <row r="47" spans="1:9">
      <c r="A47" s="47" t="s">
        <v>115</v>
      </c>
      <c r="B47" s="47" t="s">
        <v>45</v>
      </c>
      <c r="C47" s="155">
        <v>117.98</v>
      </c>
      <c r="D47" s="47" t="s">
        <v>68</v>
      </c>
      <c r="E47" s="49"/>
      <c r="F47" s="49">
        <v>46226</v>
      </c>
      <c r="G47" s="47" t="s">
        <v>18</v>
      </c>
      <c r="H47" s="47" t="s">
        <v>19</v>
      </c>
      <c r="I47" s="47"/>
    </row>
    <row r="48" spans="1:9" ht="15">
      <c r="A48" s="47" t="s">
        <v>227</v>
      </c>
      <c r="B48" s="47" t="s">
        <v>108</v>
      </c>
      <c r="C48" s="155">
        <v>500</v>
      </c>
      <c r="D48" s="47" t="s">
        <v>68</v>
      </c>
      <c r="E48" s="47"/>
      <c r="F48" s="49">
        <v>46226</v>
      </c>
      <c r="G48" s="47" t="s">
        <v>18</v>
      </c>
      <c r="H48" s="47" t="s">
        <v>19</v>
      </c>
      <c r="I48" s="47"/>
    </row>
    <row r="49" spans="1:9">
      <c r="A49" s="47" t="s">
        <v>228</v>
      </c>
      <c r="B49" s="47" t="s">
        <v>117</v>
      </c>
      <c r="C49" s="155">
        <v>159.99</v>
      </c>
      <c r="D49" s="47" t="s">
        <v>68</v>
      </c>
      <c r="E49" s="47"/>
      <c r="F49" s="49">
        <v>46226</v>
      </c>
      <c r="G49" s="47" t="s">
        <v>18</v>
      </c>
      <c r="H49" s="47" t="s">
        <v>19</v>
      </c>
      <c r="I49" s="47"/>
    </row>
    <row r="50" spans="1:9">
      <c r="A50" s="47" t="s">
        <v>229</v>
      </c>
      <c r="B50" s="47" t="s">
        <v>117</v>
      </c>
      <c r="C50" s="155">
        <v>259.95999999999998</v>
      </c>
      <c r="D50" s="47" t="s">
        <v>68</v>
      </c>
      <c r="E50" s="47"/>
      <c r="F50" s="49">
        <v>46227</v>
      </c>
      <c r="G50" s="47" t="s">
        <v>18</v>
      </c>
      <c r="H50" s="47" t="s">
        <v>19</v>
      </c>
      <c r="I50" s="47"/>
    </row>
    <row r="51" spans="1:9" ht="15">
      <c r="A51" s="126" t="s">
        <v>53</v>
      </c>
      <c r="B51" s="126" t="s">
        <v>45</v>
      </c>
      <c r="C51" s="151">
        <v>1914.06</v>
      </c>
      <c r="D51" s="126" t="s">
        <v>17</v>
      </c>
      <c r="E51" s="57">
        <v>46232</v>
      </c>
      <c r="F51" s="54">
        <v>46234</v>
      </c>
      <c r="G51" s="14" t="s">
        <v>201</v>
      </c>
      <c r="H51" s="126" t="s">
        <v>19</v>
      </c>
      <c r="I51" s="126" t="s">
        <v>230</v>
      </c>
    </row>
  </sheetData>
  <conditionalFormatting sqref="A31 C31:I31 A32:I35 F30:H35 A6:I30">
    <cfRule type="expression" dxfId="8" priority="7">
      <formula>AND($E6&lt;TODAY(),$H6&lt;&gt;"PAGO")</formula>
    </cfRule>
    <cfRule type="expression" dxfId="7" priority="8">
      <formula>$H6="pago"</formula>
    </cfRule>
  </conditionalFormatting>
  <conditionalFormatting sqref="A8:I8 H9:H35">
    <cfRule type="expression" dxfId="6" priority="9">
      <formula>$H8="pago"</formula>
    </cfRule>
  </conditionalFormatting>
  <conditionalFormatting sqref="F9:F11">
    <cfRule type="expression" dxfId="5" priority="6">
      <formula>$H9="pago"</formula>
    </cfRule>
  </conditionalFormatting>
  <conditionalFormatting sqref="F9:F11">
    <cfRule type="expression" dxfId="4" priority="5">
      <formula>$H9="pago"</formula>
    </cfRule>
  </conditionalFormatting>
  <conditionalFormatting sqref="F9:F11">
    <cfRule type="expression" dxfId="3" priority="4">
      <formula>$H9="pago"</formula>
    </cfRule>
  </conditionalFormatting>
  <conditionalFormatting sqref="A51:I51">
    <cfRule type="expression" dxfId="2" priority="1">
      <formula>AND($E51&lt;TODAY(),$H51&lt;&gt;"PAGO")</formula>
    </cfRule>
    <cfRule type="expression" dxfId="1" priority="2">
      <formula>$H51="pago"</formula>
    </cfRule>
  </conditionalFormatting>
  <conditionalFormatting sqref="H51">
    <cfRule type="expression" dxfId="0" priority="3">
      <formula>$H51="pago"</formula>
    </cfRule>
  </conditionalFormatting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87D4F-D85A-4A6C-98E2-2B98F7C8B276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victoria</dc:creator>
  <cp:keywords/>
  <dc:description/>
  <cp:lastModifiedBy>Roberto Noé</cp:lastModifiedBy>
  <cp:revision/>
  <dcterms:created xsi:type="dcterms:W3CDTF">2025-12-04T18:34:15Z</dcterms:created>
  <dcterms:modified xsi:type="dcterms:W3CDTF">2026-07-31T20:44:51Z</dcterms:modified>
  <cp:category/>
  <cp:contentStatus/>
</cp:coreProperties>
</file>